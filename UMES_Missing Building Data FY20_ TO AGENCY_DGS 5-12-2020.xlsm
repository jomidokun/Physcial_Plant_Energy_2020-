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defaultThemeVersion="124226"/>
  <mc:AlternateContent xmlns:mc="http://schemas.openxmlformats.org/markup-compatibility/2006">
    <mc:Choice Requires="x15">
      <x15ac:absPath xmlns:x15ac="http://schemas.microsoft.com/office/spreadsheetml/2010/11/ac" url="https://d.docs.live.net/7e293685ae975850/Documents/GitHub/Physcial_Plant_Energy_2020-/"/>
    </mc:Choice>
  </mc:AlternateContent>
  <xr:revisionPtr revIDLastSave="0" documentId="8_{8465F290-9C6E-417C-921A-616E52359A92}" xr6:coauthVersionLast="45" xr6:coauthVersionMax="45" xr10:uidLastSave="{00000000-0000-0000-0000-000000000000}"/>
  <bookViews>
    <workbookView xWindow="15408" yWindow="5448" windowWidth="12192" windowHeight="8964" tabRatio="844" firstSheet="1" activeTab="2" xr2:uid="{00000000-000D-0000-FFFF-FFFF00000000}"/>
  </bookViews>
  <sheets>
    <sheet name="Instructions " sheetId="7" r:id="rId1"/>
    <sheet name="Definitions " sheetId="10" r:id="rId2"/>
    <sheet name="STEP 1-A. Electric Meters" sheetId="5" r:id="rId3"/>
    <sheet name="STEP 1-B. Natural Gas Meters" sheetId="6" r:id="rId4"/>
    <sheet name="STEP 2. Building Data" sheetId="1" r:id="rId5"/>
    <sheet name="Prefered Primary Use List" sheetId="8" r:id="rId6"/>
    <sheet name="Sheet1" sheetId="2" state="hidden" r:id="rId7"/>
  </sheets>
  <externalReferences>
    <externalReference r:id="rId8"/>
  </externalReferences>
  <definedNames>
    <definedName name="_xlnm._FilterDatabase" localSheetId="4" hidden="1">'STEP 2. Building Data'!$A$1:$AB$212</definedName>
    <definedName name="Country">Sheet1!$G$1:$G$3</definedName>
    <definedName name="FloorAreaUnit">Sheet1!$J$1:$J$2</definedName>
    <definedName name="OrganizationType">Sheet1!$H$1:INDEX(Sheet1!$H:$H,MATCH("zzzzz",Sheet1!$H:$H))</definedName>
    <definedName name="PrimaryUse">Sheet1!$I$1:INDEX(Sheet1!$I:$I,MATCH("zzzzz",Sheet1!$I:$I))</definedName>
    <definedName name="SelectList1035">[1]SelectListValues!$L$1:$L$4</definedName>
    <definedName name="YesNo">[1]UdfIDs!$A$1:$A$2</definedName>
  </definedNames>
  <calcPr calcId="18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6" i="5" l="1"/>
  <c r="F3" i="5"/>
  <c r="F5" i="5"/>
  <c r="F63" i="5"/>
  <c r="F65" i="5"/>
  <c r="F14" i="5"/>
  <c r="F15" i="5"/>
  <c r="F16" i="5"/>
  <c r="F17" i="5"/>
  <c r="F18" i="5"/>
  <c r="F19" i="5"/>
  <c r="F20" i="5"/>
  <c r="F21" i="5"/>
  <c r="F22" i="5"/>
  <c r="F23" i="5"/>
  <c r="F24" i="5"/>
  <c r="F25" i="5"/>
  <c r="F26" i="5"/>
  <c r="F27" i="5"/>
  <c r="F28" i="5"/>
  <c r="F29" i="5"/>
  <c r="F30" i="5"/>
  <c r="F31" i="5"/>
  <c r="F32" i="5"/>
  <c r="F33" i="5"/>
  <c r="F34" i="5"/>
  <c r="F35" i="5"/>
  <c r="F37" i="5"/>
  <c r="F38" i="5"/>
  <c r="F39" i="5"/>
  <c r="F40" i="5"/>
  <c r="F41" i="5"/>
  <c r="F42" i="5"/>
  <c r="F43" i="5"/>
  <c r="F44" i="5"/>
  <c r="F46" i="5"/>
  <c r="F36" i="5"/>
  <c r="F47" i="5"/>
  <c r="F48" i="5"/>
  <c r="F49" i="5"/>
  <c r="F50" i="5"/>
  <c r="F51" i="5"/>
  <c r="F52" i="5"/>
  <c r="F53" i="5"/>
  <c r="F54" i="5"/>
  <c r="F55" i="5"/>
  <c r="F56" i="5"/>
  <c r="F57" i="5"/>
  <c r="F58" i="5"/>
  <c r="F59" i="5"/>
  <c r="F60" i="5"/>
  <c r="F61" i="5"/>
  <c r="F62" i="5"/>
  <c r="F7" i="5"/>
  <c r="F64" i="5"/>
  <c r="F45" i="5"/>
  <c r="F69" i="5"/>
  <c r="F4" i="5"/>
  <c r="F66" i="5"/>
  <c r="F67" i="5"/>
  <c r="F68" i="5"/>
  <c r="F8" i="5" l="1"/>
  <c r="F9" i="5"/>
  <c r="F10" i="5"/>
  <c r="F11" i="5"/>
  <c r="F12" i="5"/>
  <c r="F13" i="5"/>
  <c r="F3" i="6"/>
  <c r="F4" i="6"/>
  <c r="F5" i="6"/>
  <c r="F6" i="6"/>
  <c r="F7" i="6"/>
</calcChain>
</file>

<file path=xl/sharedStrings.xml><?xml version="1.0" encoding="utf-8"?>
<sst xmlns="http://schemas.openxmlformats.org/spreadsheetml/2006/main" count="2377" uniqueCount="1081">
  <si>
    <t>United States</t>
  </si>
  <si>
    <t>Canada</t>
  </si>
  <si>
    <t>Other</t>
  </si>
  <si>
    <t>SQFEET</t>
  </si>
  <si>
    <t>SQMETER</t>
  </si>
  <si>
    <t>Building Name</t>
  </si>
  <si>
    <t>32 Characters</t>
  </si>
  <si>
    <t>50 Characters</t>
  </si>
  <si>
    <t>Error Messages</t>
  </si>
  <si>
    <t>PlaceID</t>
  </si>
  <si>
    <t>Organization Code</t>
  </si>
  <si>
    <t>Organization Name</t>
  </si>
  <si>
    <t>Building Code</t>
  </si>
  <si>
    <t>Build Date</t>
  </si>
  <si>
    <t>10 Characters</t>
  </si>
  <si>
    <t>8 Numbers</t>
  </si>
  <si>
    <t>ORGANIZATION</t>
  </si>
  <si>
    <t>DEPARTMENT</t>
  </si>
  <si>
    <t>STORAGE</t>
  </si>
  <si>
    <t xml:space="preserve">OFF </t>
  </si>
  <si>
    <t>MAINTENANCESH</t>
  </si>
  <si>
    <t xml:space="preserve">PARKING-GARAGES </t>
  </si>
  <si>
    <t>SHOP</t>
  </si>
  <si>
    <t>AIRCRAFTHANGA</t>
  </si>
  <si>
    <t>WAREHOUSE-UNREFR</t>
  </si>
  <si>
    <t xml:space="preserve">ADMIN </t>
  </si>
  <si>
    <t>ADULTEDUCATION</t>
  </si>
  <si>
    <t>AIR_MONITORING</t>
  </si>
  <si>
    <t>AMBULATORYSURGIC</t>
  </si>
  <si>
    <t>ANIMALHOUSING</t>
  </si>
  <si>
    <t>ANTENNA</t>
  </si>
  <si>
    <t>AQUARIUM</t>
  </si>
  <si>
    <t>AUTOMOBILEDEALER</t>
  </si>
  <si>
    <t>BANK</t>
  </si>
  <si>
    <t>BARNIGHTCLUB</t>
  </si>
  <si>
    <t>BARN</t>
  </si>
  <si>
    <t>BARRACKS</t>
  </si>
  <si>
    <t>BATHHOUSE</t>
  </si>
  <si>
    <t>BOWLINGALLEY</t>
  </si>
  <si>
    <t xml:space="preserve">01447 </t>
  </si>
  <si>
    <t xml:space="preserve">CABIN </t>
  </si>
  <si>
    <t xml:space="preserve">CAMPERCABIN </t>
  </si>
  <si>
    <t>CASINO</t>
  </si>
  <si>
    <t>CEMETERY</t>
  </si>
  <si>
    <t xml:space="preserve">CHAPEL </t>
  </si>
  <si>
    <t>COLLEGEUNIV</t>
  </si>
  <si>
    <t>COMFORTSTATIO</t>
  </si>
  <si>
    <t>CONCESSION</t>
  </si>
  <si>
    <t xml:space="preserve">CONTACTSTATION </t>
  </si>
  <si>
    <t>CONVSTOREGAS</t>
  </si>
  <si>
    <t>CONVSTORENOGAS</t>
  </si>
  <si>
    <t>CONVENTIONCENTER</t>
  </si>
  <si>
    <t xml:space="preserve">CORR </t>
  </si>
  <si>
    <t xml:space="preserve">CORRCLOSED </t>
  </si>
  <si>
    <t xml:space="preserve">CORRWOMEN </t>
  </si>
  <si>
    <t>CORRECTIONALC</t>
  </si>
  <si>
    <t>CORRECTIONALH</t>
  </si>
  <si>
    <t xml:space="preserve">CORRSUP </t>
  </si>
  <si>
    <t>COURTHOUSE</t>
  </si>
  <si>
    <t>DATACENTER</t>
  </si>
  <si>
    <t>DETAINEEHOUSI</t>
  </si>
  <si>
    <t xml:space="preserve">DINING-FACILITY </t>
  </si>
  <si>
    <t>DISPLAYSANDOF</t>
  </si>
  <si>
    <t>DISTRIBUTIONCENT</t>
  </si>
  <si>
    <t>DORMITORY</t>
  </si>
  <si>
    <t>RESIDENTIAL</t>
  </si>
  <si>
    <t>DRINKINGWATERTRE</t>
  </si>
  <si>
    <t xml:space="preserve">EMPLOYEES </t>
  </si>
  <si>
    <t>ENCLOSEDMALL</t>
  </si>
  <si>
    <t>ENERGYPOWERSTATI</t>
  </si>
  <si>
    <t xml:space="preserve">EVENTS </t>
  </si>
  <si>
    <t>FACILITYENERG</t>
  </si>
  <si>
    <t>FACILITYENTRA</t>
  </si>
  <si>
    <t>FASTFOODRESTAURA</t>
  </si>
  <si>
    <t>FINANCIALOFFICE</t>
  </si>
  <si>
    <t>FIRESTATION</t>
  </si>
  <si>
    <t>FIRE_POLICE</t>
  </si>
  <si>
    <t>FITNESSCENTERGYM</t>
  </si>
  <si>
    <t>FOODSALES</t>
  </si>
  <si>
    <t>FOODSERVICE</t>
  </si>
  <si>
    <t>GENERAL</t>
  </si>
  <si>
    <t>GYM_STADIUM</t>
  </si>
  <si>
    <t xml:space="preserve">HANGER </t>
  </si>
  <si>
    <t>HIGHERED</t>
  </si>
  <si>
    <t>HISTORICALSTRUCT</t>
  </si>
  <si>
    <t>HOSPITAL</t>
  </si>
  <si>
    <t>HOTEL</t>
  </si>
  <si>
    <t>HOUSEWORSHIP</t>
  </si>
  <si>
    <t xml:space="preserve">HOUSING </t>
  </si>
  <si>
    <t>ICECURLINGRINK</t>
  </si>
  <si>
    <t>INDOORARENA</t>
  </si>
  <si>
    <t xml:space="preserve">INFORMATION </t>
  </si>
  <si>
    <t>INFORMATIONTE</t>
  </si>
  <si>
    <t>INTERPRETIVRCENT</t>
  </si>
  <si>
    <t xml:space="preserve">IRRIGATION </t>
  </si>
  <si>
    <t>ITSERVER</t>
  </si>
  <si>
    <t>JUVENILEDETENTIO</t>
  </si>
  <si>
    <t>SCHOOL</t>
  </si>
  <si>
    <t xml:space="preserve">KITCHEN </t>
  </si>
  <si>
    <t>LABORATORY</t>
  </si>
  <si>
    <t>SITECLOSED</t>
  </si>
  <si>
    <t>LIBRARY</t>
  </si>
  <si>
    <t xml:space="preserve">LIBRARY </t>
  </si>
  <si>
    <t>LIFESTYLECENTER</t>
  </si>
  <si>
    <t>LOTEMPTY</t>
  </si>
  <si>
    <t>MAILINGCENTERPOS</t>
  </si>
  <si>
    <t xml:space="preserve">MAINTENANCE </t>
  </si>
  <si>
    <t>MANUFACTURING</t>
  </si>
  <si>
    <t>MANUFACTURINGIND</t>
  </si>
  <si>
    <t>MARINA</t>
  </si>
  <si>
    <t>MEDICAL</t>
  </si>
  <si>
    <t>MIXEDUSEPROPERTY</t>
  </si>
  <si>
    <t>MOVIETHEATER</t>
  </si>
  <si>
    <t>MULTIHOUSING</t>
  </si>
  <si>
    <t>MUSEUM</t>
  </si>
  <si>
    <t>NURSING_HOME</t>
  </si>
  <si>
    <t>OTHER</t>
  </si>
  <si>
    <t>OTHEREDUCATION</t>
  </si>
  <si>
    <t>OTHERENTERTAINM</t>
  </si>
  <si>
    <t>OTHERLODGINGRES</t>
  </si>
  <si>
    <t>OTHERMALL</t>
  </si>
  <si>
    <t>OTHERPUBLICSERV</t>
  </si>
  <si>
    <t>OTHERRECREATION</t>
  </si>
  <si>
    <t>OTHERRESTAURANT</t>
  </si>
  <si>
    <t>OTHERSERVICES</t>
  </si>
  <si>
    <t>OTHERSTADIUM</t>
  </si>
  <si>
    <t>OTHERTECHNOLOGY</t>
  </si>
  <si>
    <t>OTHERUTILITY</t>
  </si>
  <si>
    <t>OTHERSPECHOSP</t>
  </si>
  <si>
    <t>OUTDOORREC</t>
  </si>
  <si>
    <t>OUTPATIENTREHABI</t>
  </si>
  <si>
    <t>PARKING</t>
  </si>
  <si>
    <t>PAROLEPROBATI</t>
  </si>
  <si>
    <t>PAROLEANDPROB</t>
  </si>
  <si>
    <t>FIELDDDMP</t>
  </si>
  <si>
    <t>PERFORMINGARTS</t>
  </si>
  <si>
    <t>PERSONALSERVICES</t>
  </si>
  <si>
    <t>POLICESTATION</t>
  </si>
  <si>
    <t>PRE-RELEASEIN</t>
  </si>
  <si>
    <t>PRESCHOOLDAYCARE</t>
  </si>
  <si>
    <t xml:space="preserve">PREDET </t>
  </si>
  <si>
    <t>PRETRIALSERVI</t>
  </si>
  <si>
    <t>PRISONINCARCERAT</t>
  </si>
  <si>
    <t>ASSEMBLY</t>
  </si>
  <si>
    <t xml:space="preserve">PUBSAF </t>
  </si>
  <si>
    <t xml:space="preserve">PUMPHOUSE </t>
  </si>
  <si>
    <t>RACETRACK</t>
  </si>
  <si>
    <t>RECORDSSTORAG</t>
  </si>
  <si>
    <t>RELIGIOUSSERVICE</t>
  </si>
  <si>
    <t xml:space="preserve">RENTALCABIN </t>
  </si>
  <si>
    <t xml:space="preserve">RENTALCABIN_2 </t>
  </si>
  <si>
    <t>REPAIRVEHSHOELOC</t>
  </si>
  <si>
    <t>RESIDENCE</t>
  </si>
  <si>
    <t>RESIDENTTREATMEN</t>
  </si>
  <si>
    <t>RESTAURANT</t>
  </si>
  <si>
    <t xml:space="preserve">RESTROOM </t>
  </si>
  <si>
    <t>RETAIL</t>
  </si>
  <si>
    <t>ROADS</t>
  </si>
  <si>
    <t>ROLLERRINK</t>
  </si>
  <si>
    <t xml:space="preserve">SCALEHOUSE </t>
  </si>
  <si>
    <t>SECURITY</t>
  </si>
  <si>
    <t>SELFSTORAGEFACI</t>
  </si>
  <si>
    <t>SENIORCARE</t>
  </si>
  <si>
    <t>SHELTER</t>
  </si>
  <si>
    <t xml:space="preserve">SHAOWERBUILDING </t>
  </si>
  <si>
    <t>SINGLEFAMILYHOME</t>
  </si>
  <si>
    <t>SOCIALMEETINGHAL</t>
  </si>
  <si>
    <t>STADIUM(CLOSED)</t>
  </si>
  <si>
    <t>STADIUM(OPEN)</t>
  </si>
  <si>
    <t>STAFFTRAINING</t>
  </si>
  <si>
    <t>STRIPMALL</t>
  </si>
  <si>
    <t>STRIP_SHOPPING</t>
  </si>
  <si>
    <t>STUDENT-ACTIVITY</t>
  </si>
  <si>
    <t>GROCERY</t>
  </si>
  <si>
    <t>SWIMMINGPOOL</t>
  </si>
  <si>
    <t xml:space="preserve">TRAFFICSIGNAL </t>
  </si>
  <si>
    <t xml:space="preserve">TRAIN </t>
  </si>
  <si>
    <t xml:space="preserve">TRANSPORTATION </t>
  </si>
  <si>
    <t>TRANSPORTATIONTE</t>
  </si>
  <si>
    <t>TREATMENTHOUSING</t>
  </si>
  <si>
    <t xml:space="preserve">UNKNOWN </t>
  </si>
  <si>
    <t>URGENTCARECLINIC</t>
  </si>
  <si>
    <t>VACANT</t>
  </si>
  <si>
    <t>VACANTLOT-OVE</t>
  </si>
  <si>
    <t xml:space="preserve">VEHICLES </t>
  </si>
  <si>
    <t>VETERINARYOFFICE</t>
  </si>
  <si>
    <t>VOCATIONALSCHOOL</t>
  </si>
  <si>
    <t>WAREHOUSE_REFRIG</t>
  </si>
  <si>
    <t>WAREHOUSER</t>
  </si>
  <si>
    <t>WAREHOUSEUR</t>
  </si>
  <si>
    <t>WASTEWATER</t>
  </si>
  <si>
    <t>WASTEWATERTREATM</t>
  </si>
  <si>
    <t>WATER</t>
  </si>
  <si>
    <t>WHOLESALECLUBSUP</t>
  </si>
  <si>
    <t xml:space="preserve">WORK-SHOP </t>
  </si>
  <si>
    <t xml:space="preserve">YOUTH_COTTAGE </t>
  </si>
  <si>
    <t>ZOO</t>
  </si>
  <si>
    <t>111600</t>
  </si>
  <si>
    <t>AGENCY</t>
  </si>
  <si>
    <t>AREA</t>
  </si>
  <si>
    <t>BRANCH</t>
  </si>
  <si>
    <t>CAMPUS</t>
  </si>
  <si>
    <t>CATEGORY</t>
  </si>
  <si>
    <t>CLIENT</t>
  </si>
  <si>
    <t>COMMISSION</t>
  </si>
  <si>
    <t>COMPANY</t>
  </si>
  <si>
    <t>DIVISION</t>
  </si>
  <si>
    <t>FLOOR</t>
  </si>
  <si>
    <t>LOCATION</t>
  </si>
  <si>
    <t>PARISH</t>
  </si>
  <si>
    <t>PRECINCT</t>
  </si>
  <si>
    <t>PROJECT</t>
  </si>
  <si>
    <t>PROPERTY</t>
  </si>
  <si>
    <t>REGION</t>
  </si>
  <si>
    <t>SECTOR</t>
  </si>
  <si>
    <t>SITE</t>
  </si>
  <si>
    <t>SUBDIVISION</t>
  </si>
  <si>
    <t>TERRITORY</t>
  </si>
  <si>
    <t>TOPNODE</t>
  </si>
  <si>
    <t>TRAFFICSIGNAL</t>
  </si>
  <si>
    <t>UNIT</t>
  </si>
  <si>
    <t>WARD</t>
  </si>
  <si>
    <t>ZONE</t>
  </si>
  <si>
    <t>Police Station</t>
  </si>
  <si>
    <t>Fire Station</t>
  </si>
  <si>
    <t>Floor Area</t>
  </si>
  <si>
    <t>Storage</t>
  </si>
  <si>
    <t>Shop</t>
  </si>
  <si>
    <t>Dormitory/Residence Hall</t>
  </si>
  <si>
    <t>Hangar</t>
  </si>
  <si>
    <t>Electric</t>
  </si>
  <si>
    <t>Meter Name</t>
  </si>
  <si>
    <t>Account Name</t>
  </si>
  <si>
    <t>Cost Center Name</t>
  </si>
  <si>
    <t>Vendor Name</t>
  </si>
  <si>
    <t>Natural Gas</t>
  </si>
  <si>
    <t>Adult Education</t>
  </si>
  <si>
    <t>Air Monitoring Station</t>
  </si>
  <si>
    <t>Ambulatory Surgical Center</t>
  </si>
  <si>
    <t>Animal Housing</t>
  </si>
  <si>
    <t>Antenna/Communications</t>
  </si>
  <si>
    <t>Aquarium</t>
  </si>
  <si>
    <t>Automobile Dealership</t>
  </si>
  <si>
    <t>Bank/Financial Center</t>
  </si>
  <si>
    <t>Bar/Nightclub</t>
  </si>
  <si>
    <t>Barn</t>
  </si>
  <si>
    <t>Barracks</t>
  </si>
  <si>
    <t>Bowling Alley</t>
  </si>
  <si>
    <t>Cabin</t>
  </si>
  <si>
    <t>Casino</t>
  </si>
  <si>
    <t>Cemetery</t>
  </si>
  <si>
    <t>College/University</t>
  </si>
  <si>
    <t>Concession</t>
  </si>
  <si>
    <t>Convenience Store with Gas Station</t>
  </si>
  <si>
    <t>Convenience Store without Gas Station</t>
  </si>
  <si>
    <t>Convention Center</t>
  </si>
  <si>
    <t>Courthouse</t>
  </si>
  <si>
    <t>Data Center</t>
  </si>
  <si>
    <t>Dining Facility</t>
  </si>
  <si>
    <t>Distribution Center</t>
  </si>
  <si>
    <t>Drinking Water Treatment &amp; Distribution</t>
  </si>
  <si>
    <t>Enclosed Mall</t>
  </si>
  <si>
    <t>Energy/Power Station</t>
  </si>
  <si>
    <t>Fast Food Restaurant</t>
  </si>
  <si>
    <t>Financial Office</t>
  </si>
  <si>
    <t>Fire/Police Station</t>
  </si>
  <si>
    <t>Fitness Center/Health Club/Gym</t>
  </si>
  <si>
    <t>Food Sales</t>
  </si>
  <si>
    <t>Food Service</t>
  </si>
  <si>
    <t>Office</t>
  </si>
  <si>
    <t>Gym/Stadium</t>
  </si>
  <si>
    <t>Hospital</t>
  </si>
  <si>
    <t>Hotel/Motel</t>
  </si>
  <si>
    <t>House of Worship</t>
  </si>
  <si>
    <t>Ice/Curling Rink</t>
  </si>
  <si>
    <t>Indoor Arena</t>
  </si>
  <si>
    <t>Irrigation</t>
  </si>
  <si>
    <t>Juvenile Detention</t>
  </si>
  <si>
    <t>K-12 School</t>
  </si>
  <si>
    <t>Laboratory</t>
  </si>
  <si>
    <t>Library</t>
  </si>
  <si>
    <t>Lifestyle Center</t>
  </si>
  <si>
    <t>Mailing Center/Post Office</t>
  </si>
  <si>
    <t>Manufacturing/Industrial Plant</t>
  </si>
  <si>
    <t>Marina</t>
  </si>
  <si>
    <t>Medical Office</t>
  </si>
  <si>
    <t>Mixed Use Property</t>
  </si>
  <si>
    <t>Movie Theater</t>
  </si>
  <si>
    <t>Multifamily Housing</t>
  </si>
  <si>
    <t>Museum</t>
  </si>
  <si>
    <t>Nursing Home</t>
  </si>
  <si>
    <t>Other - Education</t>
  </si>
  <si>
    <t>Other - Entertainment/Public Assembly</t>
  </si>
  <si>
    <t>Other - Lodging/Residential</t>
  </si>
  <si>
    <t>Other - Mall</t>
  </si>
  <si>
    <t>Other - Public Services</t>
  </si>
  <si>
    <t>Other - Recreation</t>
  </si>
  <si>
    <t>Other - Restaurant/Bar</t>
  </si>
  <si>
    <t>Other - Services</t>
  </si>
  <si>
    <t>Other - Stadium</t>
  </si>
  <si>
    <t>Other - Technology/Science</t>
  </si>
  <si>
    <t>Other - Utility</t>
  </si>
  <si>
    <t>Other/Specialty Hospital</t>
  </si>
  <si>
    <t>Outdoor Recreation</t>
  </si>
  <si>
    <t>Outpatient Rehabilitation/Physical Therapy</t>
  </si>
  <si>
    <t>Parking</t>
  </si>
  <si>
    <t>Performing Arts</t>
  </si>
  <si>
    <t>Personal Services (Health/Beauty, Dry Cleaning, etc)</t>
  </si>
  <si>
    <t>Pre-school/Daycare</t>
  </si>
  <si>
    <t>Prison/Incarceration</t>
  </si>
  <si>
    <t>Public Assembly</t>
  </si>
  <si>
    <t>Pump House</t>
  </si>
  <si>
    <t>Race Track</t>
  </si>
  <si>
    <t>Records Storage</t>
  </si>
  <si>
    <t>Repair Services (Vehicle, Shoe, Locksmith, etc)</t>
  </si>
  <si>
    <t>Residence</t>
  </si>
  <si>
    <t>Residential Care Facility</t>
  </si>
  <si>
    <t>Restaurant</t>
  </si>
  <si>
    <t>Restroom</t>
  </si>
  <si>
    <t>Retail Store</t>
  </si>
  <si>
    <t>Road/Bridge</t>
  </si>
  <si>
    <t>Roller Rink</t>
  </si>
  <si>
    <t>Scale House</t>
  </si>
  <si>
    <t>Self-Storage Facility</t>
  </si>
  <si>
    <t>Senior Care Facility</t>
  </si>
  <si>
    <t>Shelter</t>
  </si>
  <si>
    <t>Shower Building</t>
  </si>
  <si>
    <t>Single Family Home</t>
  </si>
  <si>
    <t>Social/Meeting Hall</t>
  </si>
  <si>
    <t>Stadium (Closed)</t>
  </si>
  <si>
    <t>Stadium (Open)</t>
  </si>
  <si>
    <t>Strip Mall</t>
  </si>
  <si>
    <t>Supermarket/Grocery Store</t>
  </si>
  <si>
    <t>Swimming Pool</t>
  </si>
  <si>
    <t>Transportation Terminal/Station</t>
  </si>
  <si>
    <t>Urgent Care/Clinic/Other Outpatient</t>
  </si>
  <si>
    <t>Veterinary Office</t>
  </si>
  <si>
    <t>Visitor Center</t>
  </si>
  <si>
    <t>Vocational School</t>
  </si>
  <si>
    <t>Warehouse-Refrigerated</t>
  </si>
  <si>
    <t>Warehouse-Unfrigerated</t>
  </si>
  <si>
    <t>Wastewater Treatment Plant</t>
  </si>
  <si>
    <t>Water Supply Facility</t>
  </si>
  <si>
    <t>Wholesale Club/Supercenter</t>
  </si>
  <si>
    <t xml:space="preserve">Adult Education refers to buildings used primarily for providing adult students with continuing education, workforce development, or professional development outside of the college or university setting. </t>
  </si>
  <si>
    <t>A station designated to monitoring pollutant levels in outdoor air.</t>
  </si>
  <si>
    <t xml:space="preserve">Ambulatory Surgery Centers refers to health care facilities that provide same-day surgical care, including diagnostic and preventive procedures. </t>
  </si>
  <si>
    <t>Housing for animals. Use for any building type that does not fit definition for "Zoo."</t>
  </si>
  <si>
    <t>Stand-alone Antenna or communications tower.</t>
  </si>
  <si>
    <t xml:space="preserve">Aquarium refers to buildings used to provide aquatic habitat primarily to live animals and which may include public or private viewing areas and educational programs. </t>
  </si>
  <si>
    <t>Automobile Dealership refers to buildings used for the sale of new or used cars and light trucks.</t>
  </si>
  <si>
    <t>Bank/Financial Center refers to a commercial banking outlet that offers banking services to walk-in customers.</t>
  </si>
  <si>
    <t>Bar/Nightclub refers to buildings used primarily for social/entertainment purposes, and is characterized by most of the revenue being generated from the sale of beverages instead of food. Properties whose primary business revenues are generated from the sale of food should be entered using one of the Restaurant property uses, even if there is a bar.</t>
  </si>
  <si>
    <t>A large farm building used for storing grain, hay, or straw or for housing livestock.</t>
  </si>
  <si>
    <t>Barracks refers to residential buildings associated with military facilities or educational institutions which offer multiple accommodations for long-term residents.</t>
  </si>
  <si>
    <t>Bowling alley refers to buildings used for public or private, recreational or professional bowling.</t>
  </si>
  <si>
    <t>A small shelter or house used for temporary dwelling. Usually situated in a park or remote location.</t>
  </si>
  <si>
    <t xml:space="preserve">Casino refers to buildings primarily used to conduct gambling activities including both electronic and live table games. </t>
  </si>
  <si>
    <t>An area set apart for containing graves, tombs. A burial ground or graveyard.</t>
  </si>
  <si>
    <t>College/University refers to buildings used for the purpose of higher education. This includes public and private colleges and universities.</t>
  </si>
  <si>
    <t>A stand where visitors to a place can buy food and drinks.</t>
  </si>
  <si>
    <t>Convenience Store with Gas Station refers to buildings that are co-located with gas stations and are used for the sale of a limited range of items such as groceries, toiletries, newspapers, soft drinks, tobacco products, and other everyday items. Convenience Store with Gas Station may include space for vehicle servicing and repair.</t>
  </si>
  <si>
    <t>Convenience Store without Gas Station refers to buildings used for the sale of a limited range of items such as groceries, toiletries, newspapers, soft drinks, tobacco products, and other everyday items, which are not co-located with a gas station.</t>
  </si>
  <si>
    <t>Convention center refers to buildings used primarily for large conferences, exhibitions, and similar events. Convention centers may include a diverse variety of spaces, including large exhibition halls, meeting rooms, and concession stands. Conference facilities located within a Hotel should be entered as Hotel/Motel. Conference facilities primarily serving smaller meetings should be entered as Social/Meeting Hall.</t>
  </si>
  <si>
    <t>Courthouse refers to buildings used for federal, state, or local courts, and associated administrative office space. Use for Multi-Service Centers that include courthouses with office space.</t>
  </si>
  <si>
    <t>Data Center refers to buildings specifically designed and equipped to meet the needs of high density computing equipment, such as server racks, used for data storage and processing. Typically these facilities require dedicated uninterruptible power supplies and cooling systems. Data center functions may include traditional enterprise services, on-demand enterprise services, high performance computing, internet facilities, and/or hosting facilities. Often Data Centers are free standing, mission critical computing centers. When a data center is located within a larger building, it will usually have its own power and cooling systems, and require a constant power load of 75 kW or more. Data Center is intended for sophisticated computing and server functions; it should not be used to represent a server closet or computer training area.</t>
  </si>
  <si>
    <t xml:space="preserve">A facility dedicated to food preparation and service, usually for  residents. This may include bakeries, lunch counters, restaurants, or other commercial food service activities. </t>
  </si>
  <si>
    <t xml:space="preserve">Distribution Center refers to unrefrigerated buildings that are used for the temporary storage and redistribution of goods, manufactured products, merchandise or raw materials. </t>
  </si>
  <si>
    <t>Dormitory/Residence Hall refers to buildings associated with educational institutions or military facilities which offer multiple accommodations for long-term residents.</t>
  </si>
  <si>
    <t>Drinking Water Treatment and Distribution refers to facilities designed to pump and distribute drinking water through a network of pipes. Depending on the water source (ground water, surface water, purchased water), a water utility may or may not contain a treatment process. This property use applies to any/all water sources and any/all levels of treatment.</t>
  </si>
  <si>
    <t>Enclosed Mall refers to buildings that house multiple stores, often “anchored” by one or more department stores, and with interior walkways. Most stores will not have entrances accessible from outside, with the exception of the “anchor” stores.</t>
  </si>
  <si>
    <t>Energy/Power Station applies to buildings containing machinery and/or associated equipment for generating electricity or district heat (steam, hot water, or chilled water) from a raw fuel, including fossil fuel power plants, traditional district heat power plants, combined heat and power plants, nuclear reactors, hydroelectric dams, or facilities associated with a solar or wind farm.</t>
  </si>
  <si>
    <t>Fast Food Restaurant, also known as Quick Service Restaurant, refers to buildings used for the preparation and sale of ready-to-eat food. Fast Food Restaurants are characterized by a limited menu of food prepared quickly (often within a few minutes), and sometimes cooked in bulk in advance and kept hot.</t>
  </si>
  <si>
    <t>Financial Office refers to buildings used for financial services such as bank headquarters and securities and brokerage firms.</t>
  </si>
  <si>
    <t>Fire Station refers to buildings used to provide emergency response services associated with fires. Fire stations may be staffed by either volunteer or full-time paid firemen.</t>
  </si>
  <si>
    <t>Fire/Police  Station refers to buildings used as both fire and police stations. If a facility is only used for fire or police, then use the appropriate term "Fire Station" or "Police Station."</t>
  </si>
  <si>
    <t xml:space="preserve">Fitness Center/Health Club/Gym refers to buildings used for recreational or professional athletic training and related activities. </t>
  </si>
  <si>
    <t>Food Sales refers to buildings used for the sales of food on either a retail or wholesale basis, but which do not meet the definition of Supermarket/Grocery Store, Convenience Store, or Convenience Store with Gas Stations. For example, specialty food sales like a cheese shop or butcher.</t>
  </si>
  <si>
    <t>Food Service refers to buildings used for preparation and sale of food and beverages, but which do not meet the definition of Restaurant or Bar/Nightclub. For example a bakery or coffee shop.</t>
  </si>
  <si>
    <t>DO NOT USE -- Use the term "Office"</t>
  </si>
  <si>
    <t>Gymnasium/athletic areas, spectator areas, locker rooms, and other associated space. DO NOT USE for Stadiums; Preferred terms for Stadiums are "Stadium (Open)" and "Stadium (Closed)."</t>
  </si>
  <si>
    <t>A closed building structure with an extensive floor area, typically for housing aircraft.</t>
  </si>
  <si>
    <t>DO NOT USE -- Use the term "College/University"</t>
  </si>
  <si>
    <t xml:space="preserve">Hospital refers to a general medical and surgical hospital (including critical access hospitals and children’s hospitals). These facilities provide acute care services intended to treat patients for short periods of time, including emergency medical care, physician's office services, diagnostic care, ambulatory care, surgical care, and limited specialty services such as rehabilitation and cancer care. The definition of Hospital accounts for all space types owned by the hospital that are located within the Hospital building/campus, including non-clinical spaces such as administrative offices, food service, retail, hotels, and power plant. 
</t>
  </si>
  <si>
    <t xml:space="preserve">Hotel refers to buildings renting overnight accommodations on a room/suite and nightly basis, and typically include a bath/shower and other facilities in guest rooms. Hotel properties typically have daily services available to guests including housekeeping/laundry and a front desk/concierge. Hotel does not apply to properties where more than 50% of the floor area is occupied by fractional ownership units such as condominiums or vacation timeshares, or to private residences that are rented out on a daily or weekly basis. Hotel properties should be majority-owned by a single entity and have rooms available on a nightly basis. Condominiums or Time Shares should select the Multifamily Housing property use. </t>
  </si>
  <si>
    <t>A building used for religious services or worship. Includes chapels, churches, temples, mosques, etc.</t>
  </si>
  <si>
    <t>Buildings that include one or more indoor ice sheets used for public or private, recreational or professional skating, hockey, or ringette. Larger facilities primarily serving professional or collegiate functions and with significant spectator seating (above 5,000 seats) should be entered as Indoor Arena.</t>
  </si>
  <si>
    <t xml:space="preserve">Indoor Arena refers to enclosed structures used for professional or collegiate sports and entertainment events. Examples of events held in indoor arenas include basketball and hockey games, circus performances, and concerts. Indoor Arenas usually have capacities of 5,000 seats or more and are often characterized by multiple concourses and concession areas. </t>
  </si>
  <si>
    <t>Facility dedicated to supporting irrigation or supply of water to land or crops.</t>
  </si>
  <si>
    <t>Facilities that house and rehabilitate juvenile offenders.</t>
  </si>
  <si>
    <t>K-12 School refers to buildings or campuses used as a school for Kindergarten through 12th grade students. This does not include college or university classroom facilities/laboratories, vocational, technical, trade, adult or continuing education schools, preschool, or day care.</t>
  </si>
  <si>
    <t xml:space="preserve">Laboratory refers to buildings that provide controlled conditions in which scientific research, measurement, and experiments are performed or practical science is taught.
</t>
  </si>
  <si>
    <t xml:space="preserve">Library refers to buildings used to store and manage collections of literary and artistic materials such as books, periodicals, newspapers, films, etc. that can be used for reference or lending.
</t>
  </si>
  <si>
    <t>Lifestyle Center refers to a mixed use commercial development that includes retail stores and leisure amenities, where individual retail stores typically contain an entrance accessible from the outside and are not connected by internal walkways. Lifestyle centers have an open air design, unlike traditional enclosed malls, and often include landscaped pedestrian areas, as well as streets and vehicle parking.</t>
  </si>
  <si>
    <t>Mailing Center/Post Office refers to buildings used as retail establishments dedicated to mail and mailing supplies. This includes U.S. Post Offices, in addition to private retailers that offer priority mail services and mailing supplies.</t>
  </si>
  <si>
    <t>Manufacturing/Industrial Plant refers to buildings used for manufacturing or assembling goods. Typically a Manufacturing/Industrial plant includes a main production area that has high-ceilings and contains heavy equipment used for assembly line production.</t>
  </si>
  <si>
    <t>A dock or basin providing secure moorings for small boats.</t>
  </si>
  <si>
    <t>Medical Office refers to buildings used to provide diagnosis and treatment for medical, dental, or psychiatric outpatient care.</t>
  </si>
  <si>
    <t xml:space="preserve">A Mixed Use (or multi use) property is one contains multiple property types, none of which are greater than 50% of the total Gross Floor Area (GFA), including parking GFA. </t>
  </si>
  <si>
    <t xml:space="preserve">Movie theater refers to buildings used for public or private film screenings. </t>
  </si>
  <si>
    <t>Multifamily Housing refers to residential properties that contain two or more residential living units. These properties may include low-rise buildings (1-4 stories), mid-rise buildings (5-9 stories), or high-rise buildings (10+ stories). Occupants of these buildings may include tenants, cooperators, and/or individual owners.</t>
  </si>
  <si>
    <t xml:space="preserve">Museum refers to buildings that display collections to outside visitors for public viewing and enjoyment and for informational/educational purposes. </t>
  </si>
  <si>
    <t>A facility providing residential accommodations with healthcare, especially for elderly people.</t>
  </si>
  <si>
    <t>Office refers to buildings used for the conduct of commercial or governmental business activities. This includes administrative and professional offices.</t>
  </si>
  <si>
    <t xml:space="preserve">Other refers to buildings that do not fall within any other Primary Use categories. Before selecting Other, it is highly recommended that you review the full list of Primary Use terms to ensure that there is not a suitable category for your property.
</t>
  </si>
  <si>
    <t>Other – Education refers to buildings used for religious, community, or other educational purposes not described in the available property uses in Portfolio Manager (i.e. educational purposes other than adult education, college/university, K-12 school, pre-school/daycare and vocational schools).</t>
  </si>
  <si>
    <t xml:space="preserve">Other-Entertainment/Public Assembly refers to buildings whose primary use is for entertainment or public gatherings and that do not meet the definition of any other primary use terms. 
</t>
  </si>
  <si>
    <t xml:space="preserve">Other – Lodging/Residential refers to buildings used for residential purposes other than those described in the available property uses in Portfolio Manager (i.e. residential other than multifamily residential, single family home, senior care community, residence hall/dormitory, barracks, prison/incarceration, or hotel). </t>
  </si>
  <si>
    <t>Other-Mall refers to buildings containing a collection of stores whose purpose is the sale of goods, but which do not fit into the enclosed mall, lifestyle center, or strip mall property types.</t>
  </si>
  <si>
    <t xml:space="preserve">Other – Public Services refers to buildings used by public-sector organizations to provide public services other than those described in the available property uses in Portfolio Manager (i.e. services other than offices, courthouses, drinking water treatment and distribution plants, fire stations, libraries, mailing centers or post offices, police stations, prisons or incarceration facilities, social or meeting halls, transportation terminals or stations, or wastewater treatment plants).
</t>
  </si>
  <si>
    <t xml:space="preserve">Other-Recreation refers to buildings primarily used for recreation that do not meet the definition of any other property use defined in Portfolio Manager. </t>
  </si>
  <si>
    <t>Other – Restaurant/Bar refers to buildings used for preparation and sale of ready-to-eat food and beverages, but which does not fit into the fast food restaurant, restaurant, or bar/nightclub property types.</t>
  </si>
  <si>
    <t>Other - Services refers to buildings in which primarily services are offered, but which does not fit into the Personal Services or Repair Services property types. Examples include kennels, photo processing shops, etc.</t>
  </si>
  <si>
    <t xml:space="preserve">Other-Stadium refers to buildings primarily used for sporting events that do not meet the definition of any other property use defined in Portfolio Manager. </t>
  </si>
  <si>
    <t>Other – Technology/Science refers to buildings used for science and technology related services other than Laboratories and Data Centers.</t>
  </si>
  <si>
    <t>Other – Utility applies to buildings used by a utility for some purpose other than general office or energy/power generation. This may include utility transfer stations or maintenance facilities. Note that an administrative office occupied by a utility should be entered as Office, and a power or energy generation plant should be entered as Energy/Power Station.</t>
  </si>
  <si>
    <t>Other/Specialty Hospital refers to long-term acute care hospitals, inpatient rehabilitation facilities, including Cancer Centers and Psychiatric and Substance Abuse Hospitals/Facilities.</t>
  </si>
  <si>
    <t>Outdoor Recreation refers to facilities that primarily support oudoor activities when no other Primary Use term applies. Do not use for Stadiums or Gymnasiums.</t>
  </si>
  <si>
    <t>Outpatient Rehabilitation/Physical Therapy offices refers to buildings used to provide diagnosis and treatment for rehabilitation and physical therapy.</t>
  </si>
  <si>
    <t xml:space="preserve">Parking refers to buildings and lots used for parking vehicles. This includes open parking lots, partially enclosed parking structures, and completely enclosed (or underground) parking structures. Parking structures may be free standing or physically connected to the property. Individual private garages in Multifamily Housing are not considered Parking.
</t>
  </si>
  <si>
    <t>Performing Arts refers to buildings used for public or private artistic or musical performances.</t>
  </si>
  <si>
    <t>Personal Services refers to buildings used to sell services rather than physical goods. Examples include dry cleaners, salons, spas, etc.</t>
  </si>
  <si>
    <t>Police Station applies to buildings used for federal, state, or local police forces and their associated office space.</t>
  </si>
  <si>
    <t>Pre-school/Daycare applies to buildings used for educational programs or daytime supervision/recreation for young children before they attend Kindergarten.</t>
  </si>
  <si>
    <t>Prison/Incarceration refers to federal, state, local, or private-sector buildings used for the detention of persons awaiting trial or convicted of crimes.</t>
  </si>
  <si>
    <t>Buildings in which people gather for social or recreational activities.</t>
  </si>
  <si>
    <t>A building where pumps and other pumping equipment have been installed.</t>
  </si>
  <si>
    <t xml:space="preserve">Race Track refers to buildings used primarily to hold racing events such as vehicle races, track/field races, horse races, and/or dog-races. </t>
  </si>
  <si>
    <t>A facility that stores documents, records, and/or archival materials for long term periods. Usually a climate-controlled facility.</t>
  </si>
  <si>
    <t>Repair Services refers to buildings in which some type of repair service is provided. Examples include vehicle service or repair shops, shoe repair, jewelry repair, locksmiths, etc.</t>
  </si>
  <si>
    <t>Living facilities that do not fit the definitions for other Primary Use terms (ie not Dormitory/Residence Hall, Hospital, Nursing Home, etc.) Usually used for single family houses.</t>
  </si>
  <si>
    <t>Residential Care Facilities refers to buildings that provide rehabilitative and restorative care to patients on a long-term or permanent basis. Residential Care Facilities treat mental health issues, substance abuse, and rehabilitation for injury, illness, and disabilities. This property type is intended for facilities that offer long-term residential care to residents of all ages who may be in need of assistance with activities of daily living. If a facility is designed to provide nursing and assistance to seniors only, then the Senior Care Community property type should be used.</t>
  </si>
  <si>
    <t>Restaurant refers to buildings used for preparation and sale of ready-to-eat food and beverages, but which do not fit in the fast food property type. Examples include fast casual, casual, and fine dining restaurants.</t>
  </si>
  <si>
    <t>A public bathroom, bath house or comfort station.</t>
  </si>
  <si>
    <t>Retail Store refers to individual stores used to conduct the retail sale of non-food consumer goods such as clothing, books, toys, sporting goods, office supplies, hardware, and electronics. Buildings containing multiple stores should be classified as enclosed mall, lifestyle center, or strip mall.</t>
  </si>
  <si>
    <t>Road or bridge.</t>
  </si>
  <si>
    <t xml:space="preserve">Roller Rink refers to buildings used primarily for roller-skating, inline skating/rollerblading, or skateboarding. </t>
  </si>
  <si>
    <t>A building in which are scales used; a weigh station.</t>
  </si>
  <si>
    <t>Self-Storage Facility refers to buildings that are used for private storage. Typically, a single Self Storage Facility will contain a variety of individual units that are rented out for the purpose of storing personal belongings.</t>
  </si>
  <si>
    <t xml:space="preserve">Senior Care Facility refers to buildings that house and provide care and assistance for elderly residents. </t>
  </si>
  <si>
    <t>An open structure with roof intended to provide shelter from weather.</t>
  </si>
  <si>
    <t>Facility utilized for maintenance and/or repair, especially of fleet or other vehicles.</t>
  </si>
  <si>
    <t>A public bathroom, bath house, or comfort station that includes shower or showers.</t>
  </si>
  <si>
    <t>Single Family Home refers to a standalone building with its own lot that provides living space for one household or family.</t>
  </si>
  <si>
    <t>Social/Meeting hall refers to buildings primarily used for public or private gatherings. This may include community group meetings, seminars, workshops, or performances. Please note that there is another property use available, Convention Center, for large exhibition and conference facilities.</t>
  </si>
  <si>
    <t xml:space="preserve">Stadium (Closed) refers to structures with a permanent or retractable roof which are used primarily for professional or collegiate sports and entertainment events. Examples of events held in closed stadiums include baseball and football games, and concerts. Closed Stadiums usually have capacities of 25,000 seats or more and are often characterized by multiple concourses and concession areas. </t>
  </si>
  <si>
    <t xml:space="preserve">Stadium (Open) refers to structures used primarily for professional or collegiate sports and entertainment events in which the playing field is not covered and is exposed to the outside. Examples of events held in open stadiums include baseball, football, and soccer games, and concerts. Open Stadiums usually have capacities of 5,000 seats or more and are often characterized by multiple concourses and concession areas. </t>
  </si>
  <si>
    <t>Facility used to store goods. Only use if no other term (ie. Warehouse) applies.</t>
  </si>
  <si>
    <t>Strip mall refers to buildings comprising more than one retail store, restaurant, or other business, in an open-air configuration where each establishment has an exterior entrance to the public and there are no internal walkways.</t>
  </si>
  <si>
    <t>Supermarket/Grocery Store refers to buildings used for the retail sale of primarily food and beverage products, and which may include small amounts of preparation and sale of ready-to-eat food. Buildings where the primary business is the onsite preparation and sale of ready-to-eat food should use one of the Restaurant property types.</t>
  </si>
  <si>
    <t>Swimming Pool refers to any heated swimming pools located either inside or outside.</t>
  </si>
  <si>
    <t>Transportation Terminal/Station applies to buildings used primarily for accessing public or private transportation. This includes train stations, bus stations, airports, and seaports. These terminals include areas for ticket purchases, and embarkation/disembarkation, and may also include public waiting areas with restaurants and other concessions.</t>
  </si>
  <si>
    <t>Urgent Care Center/Clinic/Other Outpatient Office refers to buildings used to treat patients, usually on an unscheduled, walk-in basis, who have an injury or illness that requires immediate care but is not serious enough to warrant a visit to an emergency department.</t>
  </si>
  <si>
    <t>Vacancy refers to a building that is not in use and not occupied.</t>
  </si>
  <si>
    <t>A Veterinary Office refers to buildings used for the medical care and treatment of animals.</t>
  </si>
  <si>
    <t>A building that gives information and services to visitors to a place such as a city, historical building, or nature reserve.</t>
  </si>
  <si>
    <t>Vocational School refers to buildings primarily designed to teach skilled trades to students, including trade and technical schools. Typically vocational schools are commonly post-secondary education, consisting of 1-2 years of technical/trade training.</t>
  </si>
  <si>
    <t>Warehouse-Refrigerated refers to refrigerated buildings that are used to store perishable goods or merchandise under refrigeration at temperatures below 50 degrees Fahrenheit.</t>
  </si>
  <si>
    <t>Warehouse-Unrefrigerated refers to buildings that are used to store non-perishable goods or merchandise.</t>
  </si>
  <si>
    <t>Wastewater Treatment Plant refers to facilities designed to treat municipal wastewater. The level of treatment at a plant will vary based on the BOD limits and the specific processes involved. This property use is intended for primary, secondary, and advanced treatment facilities with or without nutrient removal. Treatment processes may include biological, chemical, and physical treatment. This property use does not apply to drinking water treatment and distribution facilities.</t>
  </si>
  <si>
    <t>Water supply facility refers to structures and related apparatus used in the collection, treatment, or distribution of water for domestic and other uses.</t>
  </si>
  <si>
    <t xml:space="preserve">Wholesale Club/Supercenter refers to buildings used to conduct the retail sale of a wide variety of merchandise, typically in bulk quantities. Merchandise may include food, clothing, office supplies, furniture, electronics, books, sporting goods, toys, and hardware.
</t>
  </si>
  <si>
    <r>
      <t>An</t>
    </r>
    <r>
      <rPr>
        <b/>
        <sz val="12"/>
        <color rgb="FF000000"/>
        <rFont val="Arial"/>
        <family val="2"/>
      </rPr>
      <t xml:space="preserve"> independently metered</t>
    </r>
    <r>
      <rPr>
        <sz val="12"/>
        <color rgb="FF000000"/>
        <rFont val="Arial"/>
        <family val="2"/>
      </rPr>
      <t xml:space="preserve"> building is one that has its own utility bill and does not share a meter with another building.
 It is possible to easily determine the energy usage for an independently metered building. 
A </t>
    </r>
    <r>
      <rPr>
        <b/>
        <sz val="12"/>
        <color rgb="FF000000"/>
        <rFont val="Arial"/>
        <family val="2"/>
      </rPr>
      <t>campus metered</t>
    </r>
    <r>
      <rPr>
        <sz val="12"/>
        <color rgb="FF000000"/>
        <rFont val="Arial"/>
        <family val="2"/>
      </rPr>
      <t xml:space="preserve"> building is one that gets its utilities from a central source,</t>
    </r>
    <r>
      <rPr>
        <b/>
        <sz val="12"/>
        <color rgb="FF000000"/>
        <rFont val="Arial"/>
        <family val="2"/>
      </rPr>
      <t xml:space="preserve"> and </t>
    </r>
    <r>
      <rPr>
        <sz val="12"/>
        <color rgb="FF000000"/>
        <rFont val="Arial"/>
        <family val="2"/>
      </rPr>
      <t>does not have a meter that measures 
energy usage at the building level. Since a campus metered building shares one or more energy meters with other building(s),
 it will not receive its own utility bill and it is not possible to determine the energy usage for that building. Usage and bills are</t>
    </r>
    <r>
      <rPr>
        <b/>
        <sz val="12"/>
        <color rgb="FF000000"/>
        <rFont val="Arial"/>
        <family val="2"/>
      </rPr>
      <t xml:space="preserve"> only</t>
    </r>
    <r>
      <rPr>
        <sz val="12"/>
        <color rgb="FF000000"/>
        <rFont val="Arial"/>
        <family val="2"/>
      </rPr>
      <t xml:space="preserve">
 available at the campus level. Campus metered buildings are excellent candidates for submetering projects. 
</t>
    </r>
  </si>
  <si>
    <t xml:space="preserve">Property Owned By State: </t>
  </si>
  <si>
    <t xml:space="preserve">State uses it or rents it to a third party  </t>
  </si>
  <si>
    <t xml:space="preserve">Property Leased By State: </t>
  </si>
  <si>
    <t>Someone non-State owns it (leased by State from a third party)</t>
  </si>
  <si>
    <t>Organization Code
Update</t>
  </si>
  <si>
    <t>Organization Name
Update</t>
  </si>
  <si>
    <t>Organization Type
Code</t>
  </si>
  <si>
    <t>Organization Type
Code Update</t>
  </si>
  <si>
    <t>Parent Organization
Code</t>
  </si>
  <si>
    <t>Parent Organization
Code Update</t>
  </si>
  <si>
    <t>Building Code
Update</t>
  </si>
  <si>
    <t>Building Name
Update</t>
  </si>
  <si>
    <t>Must be unique</t>
  </si>
  <si>
    <t>Used for both Organization 
AND Building</t>
  </si>
  <si>
    <t>Select</t>
  </si>
  <si>
    <t>Building Address
Street 1</t>
  </si>
  <si>
    <t>Building Address
Street 1 Update</t>
  </si>
  <si>
    <t>Building Address
Street 2</t>
  </si>
  <si>
    <t>Building Address
Street 2 Update</t>
  </si>
  <si>
    <t>Building Address
Postal Code</t>
  </si>
  <si>
    <t>Building Address
Postal Code Update</t>
  </si>
  <si>
    <t>Build Date 
Update</t>
  </si>
  <si>
    <t>Floor Area
Update</t>
  </si>
  <si>
    <t>Floor Area
Unit</t>
  </si>
  <si>
    <t>Floor Area
Unit Update</t>
  </si>
  <si>
    <t>Floor Area
Effective Date</t>
  </si>
  <si>
    <t>Floor Area 
Effective Date Update</t>
  </si>
  <si>
    <t>Primary Use
Code</t>
  </si>
  <si>
    <t>Primary Use
Code Update</t>
  </si>
  <si>
    <t>Earliest permitted date is 1/1/1901
- Format: m/d/yyyy</t>
  </si>
  <si>
    <t>Format: m/d/yyyy</t>
  </si>
  <si>
    <t>Owned or Leased</t>
  </si>
  <si>
    <t>Owned or Leased Update</t>
  </si>
  <si>
    <t/>
  </si>
  <si>
    <t>255 Characters</t>
  </si>
  <si>
    <t>Select all that apply</t>
  </si>
  <si>
    <t>Electric Meter Name</t>
  </si>
  <si>
    <t>Natural Gas Meter Name</t>
  </si>
  <si>
    <t xml:space="preserve">The following building information need to be updated in the database: </t>
  </si>
  <si>
    <t>Notes</t>
  </si>
  <si>
    <t>Independent/Campus Meter</t>
  </si>
  <si>
    <t xml:space="preserve">Dropdown List </t>
  </si>
  <si>
    <t>Primary Use</t>
  </si>
  <si>
    <t xml:space="preserve">Definition </t>
  </si>
  <si>
    <t xml:space="preserve">Primary Use </t>
  </si>
  <si>
    <t>Definition</t>
  </si>
  <si>
    <r>
      <t xml:space="preserve">· The </t>
    </r>
    <r>
      <rPr>
        <b/>
        <sz val="12"/>
        <color rgb="FF222222"/>
        <rFont val="Arial"/>
        <family val="2"/>
      </rPr>
      <t>"Building Data"</t>
    </r>
    <r>
      <rPr>
        <sz val="12"/>
        <color rgb="FF222222"/>
        <rFont val="Arial"/>
        <family val="2"/>
      </rPr>
      <t xml:space="preserve"> tab has two (2) duplicate columns for most attributes, the grey/shaded columns show the current values while the white columns are for your updates. </t>
    </r>
  </si>
  <si>
    <t xml:space="preserve">· If the grey/shaded column is blank, enter missing information in the next column (white column). </t>
  </si>
  <si>
    <t>· If information is available, verify that it’s correct. If the information is incorrect, enter updates in the next (white) column.</t>
  </si>
  <si>
    <t>· Do not enter any information in the grey/shaded columns.</t>
  </si>
  <si>
    <t>· Do not reposition or delete any columns.</t>
  </si>
  <si>
    <t>· Enter floor area using square feet (sqft) as your unit.</t>
  </si>
  <si>
    <t>· Enter any missing buildings and information we are requesting after the last entry on the spreadsheet.</t>
  </si>
  <si>
    <t>Instructions for filling the spreadsheet</t>
  </si>
  <si>
    <r>
      <t xml:space="preserve">*Required for Building if Country is not Other
- 5 or 9 digit Postal Code
- Enter as </t>
    </r>
    <r>
      <rPr>
        <b/>
        <i/>
        <sz val="10"/>
        <rFont val="Tahoma"/>
        <family val="2"/>
      </rPr>
      <t>text</t>
    </r>
  </si>
  <si>
    <t xml:space="preserve">Information in STEP 1:  (Column E in "Electric Meters" and "Natural Gas Meters" tabs) </t>
  </si>
  <si>
    <r>
      <rPr>
        <b/>
        <sz val="12"/>
        <color rgb="FF222222"/>
        <rFont val="Arial"/>
        <family val="2"/>
      </rPr>
      <t>· Independent or Campus Meter --</t>
    </r>
    <r>
      <rPr>
        <sz val="12"/>
        <color rgb="FF222222"/>
        <rFont val="Arial"/>
        <family val="2"/>
      </rPr>
      <t xml:space="preserve"> to be indicated for each meter selected </t>
    </r>
  </si>
  <si>
    <t>Information in SETP 2: (Building Data tab)</t>
  </si>
  <si>
    <r>
      <t xml:space="preserve">· </t>
    </r>
    <r>
      <rPr>
        <b/>
        <sz val="12"/>
        <color rgb="FF222222"/>
        <rFont val="Arial"/>
        <family val="2"/>
      </rPr>
      <t xml:space="preserve">Owned by State, Leased by State, No Longer Leased status (Column P) </t>
    </r>
    <r>
      <rPr>
        <sz val="12"/>
        <color rgb="FF222222"/>
        <rFont val="Arial"/>
        <family val="2"/>
      </rPr>
      <t xml:space="preserve">-- Please see </t>
    </r>
    <r>
      <rPr>
        <b/>
        <sz val="12"/>
        <color rgb="FF222222"/>
        <rFont val="Arial"/>
        <family val="2"/>
      </rPr>
      <t>"Definitions"</t>
    </r>
    <r>
      <rPr>
        <sz val="12"/>
        <color rgb="FF222222"/>
        <rFont val="Arial"/>
        <family val="2"/>
      </rPr>
      <t xml:space="preserve"> Tab for clarifications.</t>
    </r>
  </si>
  <si>
    <r>
      <rPr>
        <b/>
        <sz val="12"/>
        <color rgb="FF222222"/>
        <rFont val="Arial"/>
        <family val="2"/>
      </rPr>
      <t xml:space="preserve">· Electric Meter(s) and Natural Gas Meter(s)  (Columns Q and R) -- </t>
    </r>
    <r>
      <rPr>
        <sz val="12"/>
        <color rgb="FF222222"/>
        <rFont val="Arial"/>
        <family val="2"/>
      </rPr>
      <t xml:space="preserve"> to be selected from a drop down list for each building (after completing STEP 1).</t>
    </r>
  </si>
  <si>
    <t>· Building Address (Columns T, V and X).</t>
  </si>
  <si>
    <r>
      <t>·</t>
    </r>
    <r>
      <rPr>
        <b/>
        <sz val="12"/>
        <color rgb="FF222222"/>
        <rFont val="Arial"/>
        <family val="2"/>
      </rPr>
      <t xml:space="preserve"> Build Date (Column Z)</t>
    </r>
    <r>
      <rPr>
        <sz val="12"/>
        <color rgb="FF222222"/>
        <rFont val="Arial"/>
        <family val="2"/>
      </rPr>
      <t xml:space="preserve"> -- the date that the facility was constructed. </t>
    </r>
  </si>
  <si>
    <r>
      <t>·</t>
    </r>
    <r>
      <rPr>
        <b/>
        <sz val="12"/>
        <color rgb="FF222222"/>
        <rFont val="Arial"/>
        <family val="2"/>
      </rPr>
      <t xml:space="preserve"> Floor Area (Column AB) </t>
    </r>
    <r>
      <rPr>
        <sz val="12"/>
        <color rgb="FF222222"/>
        <rFont val="Arial"/>
        <family val="2"/>
      </rPr>
      <t xml:space="preserve">-- the total gross area of the facility in square feet (sqft). </t>
    </r>
  </si>
  <si>
    <r>
      <t xml:space="preserve">· </t>
    </r>
    <r>
      <rPr>
        <b/>
        <sz val="12"/>
        <color rgb="FF222222"/>
        <rFont val="Arial"/>
        <family val="2"/>
      </rPr>
      <t xml:space="preserve">Floor Area Effective Date (Column AF) </t>
    </r>
    <r>
      <rPr>
        <sz val="12"/>
        <color rgb="FF222222"/>
        <rFont val="Arial"/>
        <family val="2"/>
      </rPr>
      <t>-- Please indicate the date for the most recent floor area. Examples:</t>
    </r>
  </si>
  <si>
    <r>
      <t xml:space="preserve">              If the building is demolished, effective date would be the </t>
    </r>
    <r>
      <rPr>
        <b/>
        <sz val="12"/>
        <color rgb="FF222222"/>
        <rFont val="Arial"/>
        <family val="2"/>
      </rPr>
      <t>date of demolition</t>
    </r>
    <r>
      <rPr>
        <sz val="12"/>
        <color rgb="FF222222"/>
        <rFont val="Arial"/>
        <family val="2"/>
      </rPr>
      <t>.</t>
    </r>
  </si>
  <si>
    <r>
      <t xml:space="preserve">              If the building is renovated, the effective date would be the </t>
    </r>
    <r>
      <rPr>
        <b/>
        <sz val="12"/>
        <color rgb="FF222222"/>
        <rFont val="Arial"/>
        <family val="2"/>
      </rPr>
      <t>date of renovation</t>
    </r>
    <r>
      <rPr>
        <sz val="12"/>
        <color rgb="FF222222"/>
        <rFont val="Arial"/>
        <family val="2"/>
      </rPr>
      <t>.</t>
    </r>
  </si>
  <si>
    <r>
      <t>·</t>
    </r>
    <r>
      <rPr>
        <b/>
        <sz val="12"/>
        <color rgb="FF222222"/>
        <rFont val="Arial"/>
        <family val="2"/>
      </rPr>
      <t xml:space="preserve"> Primary Use (column AH) </t>
    </r>
    <r>
      <rPr>
        <sz val="12"/>
        <color rgb="FF222222"/>
        <rFont val="Arial"/>
        <family val="2"/>
      </rPr>
      <t>-- the main function of the facility or site (for example: offices, street lighting, fishery, refrigerated warehouse, etc.).</t>
    </r>
  </si>
  <si>
    <t xml:space="preserve">STEP 1 - Updating "Electric Meters" and "Natural Gas Meters" tabs </t>
  </si>
  <si>
    <t>· The Electric Meters and Natural Gas Meters tabs contain lists of all active meters availaible on the database for your agency.</t>
  </si>
  <si>
    <r>
      <t xml:space="preserve">· Look up the definition of Independent Meter and Campus Meter in the </t>
    </r>
    <r>
      <rPr>
        <b/>
        <sz val="12"/>
        <color rgb="FF222222"/>
        <rFont val="Arial"/>
        <family val="2"/>
      </rPr>
      <t>"Definitions"</t>
    </r>
    <r>
      <rPr>
        <sz val="12"/>
        <color rgb="FF222222"/>
        <rFont val="Arial"/>
        <family val="2"/>
      </rPr>
      <t xml:space="preserve"> tab.</t>
    </r>
  </si>
  <si>
    <t>· Select Independent Meter or Campus Meter from a dropdown list in Column E for each meter in both tabs.</t>
  </si>
  <si>
    <t>· Column F in each tab will populate a list of "Meter Name - Independent/Campus Meter".</t>
  </si>
  <si>
    <r>
      <t xml:space="preserve">· These lists will be used in the </t>
    </r>
    <r>
      <rPr>
        <b/>
        <sz val="12"/>
        <color rgb="FF222222"/>
        <rFont val="Arial"/>
        <family val="2"/>
      </rPr>
      <t>"Building Data"</t>
    </r>
    <r>
      <rPr>
        <sz val="12"/>
        <color rgb="FF222222"/>
        <rFont val="Arial"/>
        <family val="2"/>
      </rPr>
      <t xml:space="preserve"> tab to match each building with its Electric Meter(s) and Natural Gas Meter(s) (Columns Q and R) from a dropdown list.</t>
    </r>
  </si>
  <si>
    <t>STEP 2 - Updating "Building Data" tab</t>
  </si>
  <si>
    <t>· Fill Electric Meter(s) and Natural Gas Meter(s) columns using a dropdown list of numerically ordered agency meters.</t>
  </si>
  <si>
    <t>· If there is a place listed under "Building Name" column that is not a building please indicate that in the "Notes" column (column AI).</t>
  </si>
  <si>
    <t>20452179997 - 1 College Backbone Rd</t>
  </si>
  <si>
    <t>20452179999 - 1 College Backbone Rd</t>
  </si>
  <si>
    <t>20471779997 - 1 College Backbone</t>
  </si>
  <si>
    <t>20479479999 - 1 COLLEGE BACKBONE RD</t>
  </si>
  <si>
    <t>20479819802 - 1 COLLEGE BACKBONE RD</t>
  </si>
  <si>
    <t>20479819948 - 1 COLLEGE BACKBONE RD</t>
  </si>
  <si>
    <t>20479819949 - 1 COLLEGE BACKBONE RD</t>
  </si>
  <si>
    <t>20479819950 - 1 COLLEGE BACKBONE RD</t>
  </si>
  <si>
    <t>20479819951 - 1 COLLEGE BACKBONE RD</t>
  </si>
  <si>
    <t>20479819953 - 1 COLLEGE BACKBONE RD</t>
  </si>
  <si>
    <t>20479819954 - 1 COLLEGE BACKBONE RD</t>
  </si>
  <si>
    <t>20479819955 - 1 College Backbone Rd</t>
  </si>
  <si>
    <t>20479819956 - 1 College Backbone Rd</t>
  </si>
  <si>
    <t>20479819957 - 1 College Backbone Rd</t>
  </si>
  <si>
    <t>20479819958 - 1 College Backbone Rd</t>
  </si>
  <si>
    <t>20479819959 - 1 College Backbone Rd</t>
  </si>
  <si>
    <t>20479819960 - 1 College Backbone Rd</t>
  </si>
  <si>
    <t>20479819961 - 1 College Backbone Rd</t>
  </si>
  <si>
    <t>20479819962 - 1 College Backbone Rd</t>
  </si>
  <si>
    <t>20479819963 - 1 College Backbone Rd</t>
  </si>
  <si>
    <t>20479819964 - 1 College Backbone Rd</t>
  </si>
  <si>
    <t>20479819965 - 1 COLLEGE BACKBONE RD</t>
  </si>
  <si>
    <t>20479819966 - 1 College Backbone Rd</t>
  </si>
  <si>
    <t>20479819967 - 1 College Backbone Rd</t>
  </si>
  <si>
    <t>20479819968 - 1 College Backbone Rd</t>
  </si>
  <si>
    <t>20479819969 - 1 College Backbone Rd</t>
  </si>
  <si>
    <t>20479819970 - 1 College Backbone Rd</t>
  </si>
  <si>
    <t>20479819971 - 1 College Backbone Rd</t>
  </si>
  <si>
    <t>20479819973 - 1 College Backbone Rd</t>
  </si>
  <si>
    <t>20479819974 - 1 COLLEGE BACKBONE RD</t>
  </si>
  <si>
    <t>20479819975 - 1 COLLEGE BACKBONE RD</t>
  </si>
  <si>
    <t>20479819976 - 1 COLLEGE BACKBONE RD</t>
  </si>
  <si>
    <t>20479819977 - 1 COLLEGE BACKBONE RD</t>
  </si>
  <si>
    <t>20479819978 - 1 COLLEGE BACKBONE RD</t>
  </si>
  <si>
    <t>20479819979 - 1 COLLEGE BACKBONE RD</t>
  </si>
  <si>
    <t>20479819980 - 1 COLLEGE BACKBONE RD</t>
  </si>
  <si>
    <t>20479819982 - 1 COLLEGE BACKBONE RD</t>
  </si>
  <si>
    <t>20479819972 - 1 College Backbone Rd</t>
  </si>
  <si>
    <t>20479819983 - 1 COLLEGE BACKBONE RD</t>
  </si>
  <si>
    <t>20479819984 - 1 COLLEGE BACKBONE RD</t>
  </si>
  <si>
    <t>20479819985 - 1 COLLEGE BACKBONE RD</t>
  </si>
  <si>
    <t>20479819986 - 1 COLLEGE BACKBONE RD</t>
  </si>
  <si>
    <t>20479819987 - 1 COLLEGE BACKBONE RD</t>
  </si>
  <si>
    <t>20479819988 - 1 COLLEGE BACKBONE RD</t>
  </si>
  <si>
    <t>20479819989 - 1 COLLEGE BACKBONE RD</t>
  </si>
  <si>
    <t>20479819990 - 1 COLLEGE BACKBONE RD</t>
  </si>
  <si>
    <t>20479819991 - 1 COLLEGE BACKBONE RD</t>
  </si>
  <si>
    <t>20479819992 - 1 COLLEGE BACKBONE RD</t>
  </si>
  <si>
    <t>20479819993 - 1 COLLEGE BACKBONE RD</t>
  </si>
  <si>
    <t>20479819994 - 1 College Backbone Rd</t>
  </si>
  <si>
    <t>20479819995 - 1 College Backbone Rd</t>
  </si>
  <si>
    <t>20479819996 - 1 College Backbone Rd</t>
  </si>
  <si>
    <t>20479819997 - 1 College Backbone Rd</t>
  </si>
  <si>
    <t>20479819998 - 1 COLLEGE BACKBONE RD</t>
  </si>
  <si>
    <t>20552649999 - 11868 Academic Oval</t>
  </si>
  <si>
    <t>22560739998 - 1 COLLEGE BACKBONE RD</t>
  </si>
  <si>
    <t>20479819981 - 1 COLLEGE BACKBONE RD</t>
  </si>
  <si>
    <t>990899300 - BACKBONE RD</t>
  </si>
  <si>
    <t>1445300 - BACKBONE RD</t>
  </si>
  <si>
    <t>665298500 - 30865 COLLEGE BACKBONE RD</t>
  </si>
  <si>
    <t>665298600 - 30865 COLLEGE BACKBONE RD</t>
  </si>
  <si>
    <t>665298800 - 30865 COLLEGE BACKBONE RD</t>
  </si>
  <si>
    <t>DELMARVA POWER</t>
  </si>
  <si>
    <t>CHOPTANK ELECTRIC</t>
  </si>
  <si>
    <t>Choptank Electric</t>
  </si>
  <si>
    <t>55003538042 - College Backbone Rd</t>
  </si>
  <si>
    <t>55003538745 - 11850 Tom Nichols Rd</t>
  </si>
  <si>
    <t>55006452258 - College Rd</t>
  </si>
  <si>
    <t>55007284346 - 11850 Tom Nichols Rd</t>
  </si>
  <si>
    <t>55007354149 - 30578 Broad St</t>
  </si>
  <si>
    <t>55007354958 - 30578 Broad St</t>
  </si>
  <si>
    <t>55007355229 - 30578 Broad St</t>
  </si>
  <si>
    <t>55007356193 - 30578 Broad St</t>
  </si>
  <si>
    <t>55007356490 - 30578 Broad St</t>
  </si>
  <si>
    <t>55007356888 - 30578 Broad St</t>
  </si>
  <si>
    <t>55007357266 - 30578 Broad St</t>
  </si>
  <si>
    <t>55007357837 - 30578 Broad St</t>
  </si>
  <si>
    <t>55007378098 - 30578 Broad St</t>
  </si>
  <si>
    <t>55007378445 - 30578 Broad St Apt 1521</t>
  </si>
  <si>
    <t>55007378684 - 30578 Broad St</t>
  </si>
  <si>
    <t>55007379120 - 30578 Broad St</t>
  </si>
  <si>
    <t>55007379591 - 30578 Broad St</t>
  </si>
  <si>
    <t>55007379807 - 30578 Broad St</t>
  </si>
  <si>
    <t>55007380300 - 30578 Broad St</t>
  </si>
  <si>
    <t>55007380797 - 30578 Broad St</t>
  </si>
  <si>
    <t>55007380946 - 30578 Broad St</t>
  </si>
  <si>
    <t>55007381340 - 11811 Tom Nichols Rd</t>
  </si>
  <si>
    <t>55007381787 - 30578 Broad St</t>
  </si>
  <si>
    <t>55007402112 - 30578 Broad St</t>
  </si>
  <si>
    <t>55007402450 - 30578 Broad St</t>
  </si>
  <si>
    <t>55007402914 - 30578 Broad St</t>
  </si>
  <si>
    <t>55007403136 - 30578 Broad St</t>
  </si>
  <si>
    <t>55007403433 - 30578 Broad St</t>
  </si>
  <si>
    <t>55007404324 - 30578 Broad St</t>
  </si>
  <si>
    <t>55007404845 - 30578 Broad St</t>
  </si>
  <si>
    <t>55007405222 - 30578 Broad St</t>
  </si>
  <si>
    <t>55007405636 - 30578 Broad St</t>
  </si>
  <si>
    <t>55007405891 - 30578 Broad St</t>
  </si>
  <si>
    <t>55007426194 - 30578 Broad St</t>
  </si>
  <si>
    <t>55007426830 - 30578 Broad St</t>
  </si>
  <si>
    <t>55007427077 - 30578 Broad St</t>
  </si>
  <si>
    <t>55007427903 - 30578 Broad St</t>
  </si>
  <si>
    <t>55007403870 - 30578 Broad St</t>
  </si>
  <si>
    <t>55007428141 - 30578 Broad St</t>
  </si>
  <si>
    <t>55007428794 - 30578 Broad St</t>
  </si>
  <si>
    <t>55007429131 - 30578 Broad St</t>
  </si>
  <si>
    <t>55007429586 - 30578 Broad St</t>
  </si>
  <si>
    <t>55007450020 - 30578 Broad St</t>
  </si>
  <si>
    <t>55007450400 - 30578 Broad St</t>
  </si>
  <si>
    <t>55007450822 - 30578 Broad St</t>
  </si>
  <si>
    <t>55007451150 - 30578 Broad St</t>
  </si>
  <si>
    <t>55007451549 - 30578 Broad St</t>
  </si>
  <si>
    <t>55007451887 - 30578 Broad St</t>
  </si>
  <si>
    <t>55007452109 - 30578 Broad St</t>
  </si>
  <si>
    <t>55007452299 - 30578 Broad St</t>
  </si>
  <si>
    <t>55007452364 - 30578 Broad St</t>
  </si>
  <si>
    <t>55007452695 - 30578 Broad St</t>
  </si>
  <si>
    <t>55007452950 - 30578 Broad St</t>
  </si>
  <si>
    <t>55007453404 - 30578 Broad St</t>
  </si>
  <si>
    <t>55003385337 (Central) - U Of Md Eastern Shore</t>
  </si>
  <si>
    <t>55009362223 - College Backbone Rd</t>
  </si>
  <si>
    <t>55007427333 - 30578 Broad St</t>
  </si>
  <si>
    <t>990899300 - 11802 MARSH VIEW LN.</t>
  </si>
  <si>
    <t>1445300 - MARKSMAN FARM OFFICE</t>
  </si>
  <si>
    <t>665298500 - GARAGE/MARKSMAN FARM</t>
  </si>
  <si>
    <t>665298600 - HOUSE 12116 BACKBONE RD.</t>
  </si>
  <si>
    <t>665298800 - BACKBONE RD. IRRIGATION PUMP</t>
  </si>
  <si>
    <t>37398249999 - STUDENT DEVELOP CTR STE 1160</t>
  </si>
  <si>
    <t>55011723693 - Hytche Blvd Kiosk</t>
  </si>
  <si>
    <t>22560739992 - 1 COLLEGE BACKBONE RD</t>
  </si>
  <si>
    <t>55009341805 - Tom Nichols Rd Apt Temp</t>
  </si>
  <si>
    <t>1886102 - 30865 College Backbone Rd</t>
  </si>
  <si>
    <t>1886102 - GreenHouse</t>
  </si>
  <si>
    <t>09589000114 - MD RT 388 TOM NICHOLS RD</t>
  </si>
  <si>
    <t>SUNEDISON</t>
  </si>
  <si>
    <t>LongRoad (prev SunEdison)</t>
  </si>
  <si>
    <t>50000661251 - 11868 ACADEMIC OVAL</t>
  </si>
  <si>
    <t>50000661251 - 10789 Stewart Neck Rd</t>
  </si>
  <si>
    <t>1203</t>
  </si>
  <si>
    <t>UMES-USM</t>
  </si>
  <si>
    <t>Univ of Maryland - Eastern Shore (UMES)</t>
  </si>
  <si>
    <t>USM</t>
  </si>
  <si>
    <t>9050</t>
  </si>
  <si>
    <t>UMES-1511</t>
  </si>
  <si>
    <t>9087</t>
  </si>
  <si>
    <t>UMES-1AGBLD</t>
  </si>
  <si>
    <t>2 AG BLD, BACKBONE ROAD</t>
  </si>
  <si>
    <t>9062</t>
  </si>
  <si>
    <t>UMES-1CHICKENHOUSE</t>
  </si>
  <si>
    <t>CHICKEN HOUSE, BACKBONE ROAD</t>
  </si>
  <si>
    <t>9076</t>
  </si>
  <si>
    <t>UMES-1FOODSERVICE</t>
  </si>
  <si>
    <t>FOOD SERVICE, BACKBONE ROAD</t>
  </si>
  <si>
    <t>9065</t>
  </si>
  <si>
    <t>UMES-2CHICKENHOUSE</t>
  </si>
  <si>
    <t>2 CHICKEN HOUSE, BACKBONE ROAD</t>
  </si>
  <si>
    <t>9059</t>
  </si>
  <si>
    <t>UMES-2IRRAGATIONPUMP</t>
  </si>
  <si>
    <t>2 IRRAGATION PUMP, BACKBONE ROAD</t>
  </si>
  <si>
    <t>9064</t>
  </si>
  <si>
    <t>UMES-2PPOLTRYBLD</t>
  </si>
  <si>
    <t>2 POULTRY BLD, BACKBONE ROAD</t>
  </si>
  <si>
    <t>9060</t>
  </si>
  <si>
    <t>UMES-300BED</t>
  </si>
  <si>
    <t>300 BED, BACKBONE ROAD</t>
  </si>
  <si>
    <t>9066</t>
  </si>
  <si>
    <t>UMES-3CHICKENHOUSE</t>
  </si>
  <si>
    <t>3 CHICKEN HOUSE, BACKBONE ROAD</t>
  </si>
  <si>
    <t>9069</t>
  </si>
  <si>
    <t>UMES-4CHICKENHOUSE</t>
  </si>
  <si>
    <t>4 CHICKEN HOUSE, BACKBONE ROAD</t>
  </si>
  <si>
    <t>9081</t>
  </si>
  <si>
    <t>UMES-AGBLD</t>
  </si>
  <si>
    <t>AS BLD, BACKBONE ROAD</t>
  </si>
  <si>
    <t>9096</t>
  </si>
  <si>
    <t>UMES-AQUACULTURE</t>
  </si>
  <si>
    <t>AQUACULTURE, BACKBONE ROAD</t>
  </si>
  <si>
    <t>9084</t>
  </si>
  <si>
    <t>UMES-ART&amp;TECH</t>
  </si>
  <si>
    <t>ART &amp; TECH, BACKBONE ROAD</t>
  </si>
  <si>
    <t>9068</t>
  </si>
  <si>
    <t>UMES-ATHLETICCENTER</t>
  </si>
  <si>
    <t>ATHLETIC CENTER, BACKBONE ROAD</t>
  </si>
  <si>
    <t>9047</t>
  </si>
  <si>
    <t>UMES-BACKBONEROAD</t>
  </si>
  <si>
    <t>9048</t>
  </si>
  <si>
    <t>UMES-BREITZELFARMHOUS</t>
  </si>
  <si>
    <t>BREITZEL FARMHOUSE, WILLIAM P HYCHE BLVD</t>
  </si>
  <si>
    <t>9044</t>
  </si>
  <si>
    <t>UMES-BROADSTREET1521</t>
  </si>
  <si>
    <t>9085</t>
  </si>
  <si>
    <t>UMES-CAMPUSWIDE2FUELO</t>
  </si>
  <si>
    <t>CAMPUS WIDE#2 FUEL OIL, BACKBONE RD</t>
  </si>
  <si>
    <t>9067</t>
  </si>
  <si>
    <t>UMES-CARVERHALL</t>
  </si>
  <si>
    <t>CARVER HALL, BACKBONE ROAD</t>
  </si>
  <si>
    <t>9078</t>
  </si>
  <si>
    <t>UMES-CENTRALSTEAM</t>
  </si>
  <si>
    <t>CENTRAL STEAM, BACKBONE ROAD</t>
  </si>
  <si>
    <t>9097</t>
  </si>
  <si>
    <t>UMES-CENTRALSTEAMPLAN</t>
  </si>
  <si>
    <t>CENTRAL STEAM PLANT #6 FUEL, BACKBONE RD</t>
  </si>
  <si>
    <t>9051</t>
  </si>
  <si>
    <t>UMES-CHICKENFARM11811</t>
  </si>
  <si>
    <t>CHICKEN FARM 11811, BACKBONE ROAD</t>
  </si>
  <si>
    <t>9094</t>
  </si>
  <si>
    <t>UMES-COASTALECOLOGY</t>
  </si>
  <si>
    <t>9075</t>
  </si>
  <si>
    <t>UMES-CROPMAINT</t>
  </si>
  <si>
    <t>CROP MAINT, BACKBONE ROAD</t>
  </si>
  <si>
    <t>9080</t>
  </si>
  <si>
    <t>UMES-DISPENSINGPUMP</t>
  </si>
  <si>
    <t>DISPENSING PUMP, BACKBONE ROAD</t>
  </si>
  <si>
    <t>9054</t>
  </si>
  <si>
    <t>UMES-ECOLOGY1802MARSH</t>
  </si>
  <si>
    <t>ECOLOGY 1802 MARSH LANE, 1802 MARSH VIEW</t>
  </si>
  <si>
    <t>9071</t>
  </si>
  <si>
    <t>UMES-ENTFARM</t>
  </si>
  <si>
    <t>ENT FARM, BACKBONE ROAD</t>
  </si>
  <si>
    <t>9089</t>
  </si>
  <si>
    <t>UMES-FOODSCIENCE</t>
  </si>
  <si>
    <t>9082</t>
  </si>
  <si>
    <t>UMES-GREENHOUSE</t>
  </si>
  <si>
    <t>GREEN HOUSE, BACKBONE HOUSE</t>
  </si>
  <si>
    <t>9008</t>
  </si>
  <si>
    <t>UMES-HAWKSLANDING</t>
  </si>
  <si>
    <t>UMES-HAWKSLANDIND1214</t>
  </si>
  <si>
    <t>HAWKS LANDING 1214, WILLIAM P HYCHE</t>
  </si>
  <si>
    <t>8994</t>
  </si>
  <si>
    <t>8998</t>
  </si>
  <si>
    <t>UMES-HAWKSLANDING1000</t>
  </si>
  <si>
    <t>HAWKS LANDING 1000, WILLIAM P HYCHE</t>
  </si>
  <si>
    <t>9001</t>
  </si>
  <si>
    <t>UMES-HAWKSLANDING1111</t>
  </si>
  <si>
    <t>HAWKS LANDING 1111, WILLIAM P HYCHE</t>
  </si>
  <si>
    <t>9002</t>
  </si>
  <si>
    <t>UMES-HAWKSLANDING1112</t>
  </si>
  <si>
    <t>HAWKS LANDING 1112, WILLIAM P HYCHE</t>
  </si>
  <si>
    <t>9003</t>
  </si>
  <si>
    <t>UMES-HAWKSLANDING1121</t>
  </si>
  <si>
    <t>HAWKS LANDING 1121, WILLIAM P HYCHE</t>
  </si>
  <si>
    <t>9004</t>
  </si>
  <si>
    <t>UMES-HAWKSLANDING1122</t>
  </si>
  <si>
    <t>HAWKS LANDING 1122, WILLIAM P HYCHE</t>
  </si>
  <si>
    <t>9005</t>
  </si>
  <si>
    <t>UMES-HAWKSLANDING1131</t>
  </si>
  <si>
    <t>HAWKS LANDING 1131, WILLIAM P HYCHE</t>
  </si>
  <si>
    <t>9006</t>
  </si>
  <si>
    <t>UMES-HAWKSLANDING1132</t>
  </si>
  <si>
    <t>HAWKS LANDING 1132, WILLIAM P HYCHE</t>
  </si>
  <si>
    <t>9000</t>
  </si>
  <si>
    <t>UMES-HAWKSLANDING1211</t>
  </si>
  <si>
    <t>HAWKS LANDING 1211, WILLIAM P HYCHE</t>
  </si>
  <si>
    <t>8999</t>
  </si>
  <si>
    <t>UMES-HAWKSLANDING1212</t>
  </si>
  <si>
    <t>HAWKS LANDING 1212, WILLIAM P HYCHE</t>
  </si>
  <si>
    <t>9007</t>
  </si>
  <si>
    <t>UMES-HAWKSLANDING1213</t>
  </si>
  <si>
    <t>HAWKS LANDING 1213, WILLIAM P HYCHE</t>
  </si>
  <si>
    <t>9009</t>
  </si>
  <si>
    <t>UMES-HAWKSLANDING1221</t>
  </si>
  <si>
    <t>HAWKS LANDING 1221, WILLIAM P HYCHE</t>
  </si>
  <si>
    <t>9010</t>
  </si>
  <si>
    <t>UMES-HAWKSLANDING1222</t>
  </si>
  <si>
    <t>HAWKS LANDING 1222, WILLIAM P HYCHE</t>
  </si>
  <si>
    <t>9011</t>
  </si>
  <si>
    <t>UMES-HAWKSLANDING1223</t>
  </si>
  <si>
    <t>HAWKS LANDING 1223, WILLIAM P HYCHE</t>
  </si>
  <si>
    <t>9012</t>
  </si>
  <si>
    <t>UMES-HAWKSLANDING1224</t>
  </si>
  <si>
    <t>HAWKS LANDING 1224, WILLIAM P HYCHE</t>
  </si>
  <si>
    <t>9013</t>
  </si>
  <si>
    <t>UMES-HAWKSLANDING1231</t>
  </si>
  <si>
    <t>HAWKS LANDING 1231, WILLIAM P HYCHE</t>
  </si>
  <si>
    <t>9015</t>
  </si>
  <si>
    <t>UMES-HAWKSLANDING1232</t>
  </si>
  <si>
    <t>HAWKS LANDING 1232, WILLIAM P HYCHE</t>
  </si>
  <si>
    <t>9014</t>
  </si>
  <si>
    <t>UMES-HAWKSLANDING1233</t>
  </si>
  <si>
    <t>HAWKS LANDING 1233, WILLIAM P HYCHE</t>
  </si>
  <si>
    <t>9016</t>
  </si>
  <si>
    <t>UMES-HAWKSLANDING1234</t>
  </si>
  <si>
    <t>HAWKS LANDING 1234, WILLIAM P HYCHE</t>
  </si>
  <si>
    <t>9033</t>
  </si>
  <si>
    <t>UMES-HAWKSLANDING1311</t>
  </si>
  <si>
    <t>HAWKS LANDING 1311, WILLIAM P HYCHE BLVD</t>
  </si>
  <si>
    <t>9017</t>
  </si>
  <si>
    <t>UMES-HAWKSLANDING1312</t>
  </si>
  <si>
    <t>HAWKS LANDING 1312, WILLIAM P HYCHE</t>
  </si>
  <si>
    <t>9018</t>
  </si>
  <si>
    <t>UMES-HAWKSLANDING1313</t>
  </si>
  <si>
    <t>HAWKS LANDING 1313, WILLIAM P HYCHE</t>
  </si>
  <si>
    <t>9041</t>
  </si>
  <si>
    <t>UMES-HAWKSLANDING1314</t>
  </si>
  <si>
    <t>HAWKS LANDING 1314, WILLIAM P HYCHE BLVD</t>
  </si>
  <si>
    <t>9019</t>
  </si>
  <si>
    <t>UMES-HAWKSLANDING1321</t>
  </si>
  <si>
    <t>HAWKS LANDING 1321, WILLIAM P HYCHE</t>
  </si>
  <si>
    <t>8995</t>
  </si>
  <si>
    <t>UMES-HAWKSLANDING1322</t>
  </si>
  <si>
    <t>HAWKS LANDING 1322,BACKBONE RD</t>
  </si>
  <si>
    <t>9034</t>
  </si>
  <si>
    <t>UMES-HAWKSLANDING1323</t>
  </si>
  <si>
    <t>HAWKS LANDING 1323, WILLIAM P HYCHE BLVD</t>
  </si>
  <si>
    <t>9035</t>
  </si>
  <si>
    <t>UMES-HAWKSLANDING1324</t>
  </si>
  <si>
    <t>HAWKS LANDING 1324, WILLIAM P HYCHE BLVD</t>
  </si>
  <si>
    <t>9036</t>
  </si>
  <si>
    <t>UMES-HAWKSLANDING1331</t>
  </si>
  <si>
    <t>HAWKS LANDING 1331, WILLIAM P HYCHE BLVD</t>
  </si>
  <si>
    <t>9037</t>
  </si>
  <si>
    <t>UMES-HAWKSLANDING1332</t>
  </si>
  <si>
    <t>HAWKS LANDING 1332, WILLIAM P HYCHE BLVD</t>
  </si>
  <si>
    <t>9038</t>
  </si>
  <si>
    <t>UMES-HAWKSLANDING1333</t>
  </si>
  <si>
    <t>HAWKS LANDING 1333, WILLIAM P HYCHE BLVD</t>
  </si>
  <si>
    <t>9039</t>
  </si>
  <si>
    <t>UMES-HAWKSLANDING1334</t>
  </si>
  <si>
    <t>HAWKS LANDING 1334, WILLIAM P HYCHE BLVD</t>
  </si>
  <si>
    <t>9040</t>
  </si>
  <si>
    <t>UMES-HAWKSLANDING1411</t>
  </si>
  <si>
    <t>HAWKS LANDING 1411, WILLIAM P HYCHE BLVD</t>
  </si>
  <si>
    <t>9020</t>
  </si>
  <si>
    <t>UMES-HAWKSLANDING1412</t>
  </si>
  <si>
    <t>HAWKS LANDING 1412, WILLIAM P HYCHE</t>
  </si>
  <si>
    <t>9021</t>
  </si>
  <si>
    <t>UMES-HAWKSLANDING1413</t>
  </si>
  <si>
    <t>HAWKS LANDING 1413, WILLIAM P HYCHE BLVD</t>
  </si>
  <si>
    <t>9028</t>
  </si>
  <si>
    <t>UMES-HAWKSLANDING1414</t>
  </si>
  <si>
    <t>HAWKS LANDING 1414, WILLIAM P HYCHE BLVD</t>
  </si>
  <si>
    <t>9027</t>
  </si>
  <si>
    <t>UMES-HAWKSLANDING1421</t>
  </si>
  <si>
    <t>HAWKS LANDING 1421, WILLIAM P HYCHE BLVD</t>
  </si>
  <si>
    <t>9022</t>
  </si>
  <si>
    <t>UMES-HAWKSLANDING1422</t>
  </si>
  <si>
    <t>HAWKS LANDING 1422, WILLIAM P HYCHE BLVD</t>
  </si>
  <si>
    <t>9023</t>
  </si>
  <si>
    <t>UMES-HAWKSLANDING1423</t>
  </si>
  <si>
    <t>HAWKS LANDING 1423, WILLIAM P HYCHE BLVD</t>
  </si>
  <si>
    <t>8996</t>
  </si>
  <si>
    <t>UMES-HAWKSLANDING1424</t>
  </si>
  <si>
    <t>HAWKS LANDING 1424, WILLIAM HYCHE BLVD</t>
  </si>
  <si>
    <t>9024</t>
  </si>
  <si>
    <t>UMES-HAWKSLANDING1431</t>
  </si>
  <si>
    <t>HAWKS LANDING 1431, WILLIAM P HYCHE BLVD</t>
  </si>
  <si>
    <t>9026</t>
  </si>
  <si>
    <t>UMES-HAWKSLANDING1432</t>
  </si>
  <si>
    <t>HAWKS LANDING 1432, WILLIAM P HYCHE BLVD</t>
  </si>
  <si>
    <t>9025</t>
  </si>
  <si>
    <t>UMES-HAWKSLANDING1433</t>
  </si>
  <si>
    <t>HAWKS LANDING 1433, WILLIAM P HYCHE BLVD</t>
  </si>
  <si>
    <t>9031</t>
  </si>
  <si>
    <t>UMES-HAWKSLANDING1434</t>
  </si>
  <si>
    <t>HAWKS LANDING 1434, WILLIAM P HYCHE BLVD</t>
  </si>
  <si>
    <t>9030</t>
  </si>
  <si>
    <t>UMES-HAWKSLANDING1512</t>
  </si>
  <si>
    <t>HAWKS LANDING 1512, WILLIAM P HYCHE BLVED</t>
  </si>
  <si>
    <t>8997</t>
  </si>
  <si>
    <t>UMES-HAWKSLANDING1522</t>
  </si>
  <si>
    <t>HAWKS LANDING 1522, WILLAIM P HYCHE BLVD</t>
  </si>
  <si>
    <t>9029</t>
  </si>
  <si>
    <t>UMES-HAWKSLANDING1531</t>
  </si>
  <si>
    <t>HAWKS LANDING 1531, WILLIAM P HYCHE BLVD</t>
  </si>
  <si>
    <t>9032</t>
  </si>
  <si>
    <t>UMES-HAWKSLANDING1532</t>
  </si>
  <si>
    <t>HAWKS LANDING 1532, WILLIAM P HYCHE BLVD</t>
  </si>
  <si>
    <t>9074</t>
  </si>
  <si>
    <t>UMES-HAZELHALL</t>
  </si>
  <si>
    <t>HAZEL HALL, BACKBONE ROAD</t>
  </si>
  <si>
    <t>9088</t>
  </si>
  <si>
    <t>UMES-HENSON</t>
  </si>
  <si>
    <t>9077</t>
  </si>
  <si>
    <t>UMES-HENSONCENTER</t>
  </si>
  <si>
    <t>HENSON CENTER, BACKBONE ROAD</t>
  </si>
  <si>
    <t>9057</t>
  </si>
  <si>
    <t>UMES-HOUSE12116BACKBO</t>
  </si>
  <si>
    <t>HOUSE 12116 BACKBONE ROAD, BACKBONE ROAD</t>
  </si>
  <si>
    <t>9091</t>
  </si>
  <si>
    <t>UMES-HYCHE</t>
  </si>
  <si>
    <t>9058</t>
  </si>
  <si>
    <t>UMES-IRRAGATIONPUMP</t>
  </si>
  <si>
    <t>1 IRRIGATION PUMP, BACKBONE ROAD</t>
  </si>
  <si>
    <t>9070</t>
  </si>
  <si>
    <t>UMES-KIAHHALL</t>
  </si>
  <si>
    <t>KIAH HALL, BACKBONE ROAD</t>
  </si>
  <si>
    <t>9079</t>
  </si>
  <si>
    <t>UMES-LANDRYROOM</t>
  </si>
  <si>
    <t>9052</t>
  </si>
  <si>
    <t>UMES-MAINACCOUNT</t>
  </si>
  <si>
    <t>MAIN ACCOUNT, BACKBONE ROAD</t>
  </si>
  <si>
    <t>9056</t>
  </si>
  <si>
    <t>UMES-MARKMANFARMGARAG</t>
  </si>
  <si>
    <t>9055</t>
  </si>
  <si>
    <t>UMES-MARKSMANFARMOFFI</t>
  </si>
  <si>
    <t>MARKSMAN FARM OFFICE, BACKBONE ROAD</t>
  </si>
  <si>
    <t>9072</t>
  </si>
  <si>
    <t>UMES-PHYSICALPLANT</t>
  </si>
  <si>
    <t>PHYSICAL PLANT, BACKBONE ROAD</t>
  </si>
  <si>
    <t>9049</t>
  </si>
  <si>
    <t>UMES-POSTOFFICEROAD31</t>
  </si>
  <si>
    <t>POST OFFICE ROAD 31044, 31044 POST OFFICE RD</t>
  </si>
  <si>
    <t>9061</t>
  </si>
  <si>
    <t>UMES-POULTRYBLD</t>
  </si>
  <si>
    <t>POULTRY BLD, BACKBONE ROAD</t>
  </si>
  <si>
    <t>9095</t>
  </si>
  <si>
    <t>UMES-PRESIDENTSHOUSE</t>
  </si>
  <si>
    <t>PRESIDENTS HOUSE, BACKBONE ROAD</t>
  </si>
  <si>
    <t>9083</t>
  </si>
  <si>
    <t>UMES-SDC</t>
  </si>
  <si>
    <t>SDC, BACKBONE ROAD</t>
  </si>
  <si>
    <t>9090</t>
  </si>
  <si>
    <t>UMES-SSC</t>
  </si>
  <si>
    <t>SSC, BACKBONE ROAD</t>
  </si>
  <si>
    <t>9053</t>
  </si>
  <si>
    <t>UMES-STREETLIGHT</t>
  </si>
  <si>
    <t>STREET LIGHT, BACKBONE ROAD</t>
  </si>
  <si>
    <t>9073</t>
  </si>
  <si>
    <t>UMES-STUDENTCENTER</t>
  </si>
  <si>
    <t>STUDENT CENTER, BACKBONE ROAD</t>
  </si>
  <si>
    <t>9092</t>
  </si>
  <si>
    <t>UMES-STUDENTRADIOSTAT</t>
  </si>
  <si>
    <t>STUDENT RADIO STATION, BACKBONE ROAD</t>
  </si>
  <si>
    <t>9063</t>
  </si>
  <si>
    <t>UMES-SWINE</t>
  </si>
  <si>
    <t>SWINE, BACKBONE ROAD</t>
  </si>
  <si>
    <t>9043</t>
  </si>
  <si>
    <t>UMES-TOMNICHOLSROAD</t>
  </si>
  <si>
    <t>9045</t>
  </si>
  <si>
    <t>UMES-TOMNICHOLSROAD11</t>
  </si>
  <si>
    <t>1 TOM NICHOLS RD 11850, TOM NICHOLS ROAD</t>
  </si>
  <si>
    <t>9046</t>
  </si>
  <si>
    <t>UMES-TOMNICOLSROAD118</t>
  </si>
  <si>
    <t>2 TOM NICHOLS ROAD 11850, TOM NICHOLS ROAD</t>
  </si>
  <si>
    <t>21853</t>
  </si>
  <si>
    <t>218535</t>
  </si>
  <si>
    <t>10418</t>
  </si>
  <si>
    <t>06/01/2000</t>
  </si>
  <si>
    <t>37250</t>
  </si>
  <si>
    <t>71989</t>
  </si>
  <si>
    <t>122000</t>
  </si>
  <si>
    <t>50492</t>
  </si>
  <si>
    <t>3830</t>
  </si>
  <si>
    <t>66345</t>
  </si>
  <si>
    <t>4083</t>
  </si>
  <si>
    <t>11000</t>
  </si>
  <si>
    <t>6410</t>
  </si>
  <si>
    <t>661</t>
  </si>
  <si>
    <t>1796344</t>
  </si>
  <si>
    <t>113265</t>
  </si>
  <si>
    <t>60062</t>
  </si>
  <si>
    <t>115000</t>
  </si>
  <si>
    <t>35934</t>
  </si>
  <si>
    <t>1920</t>
  </si>
  <si>
    <t>2919</t>
  </si>
  <si>
    <t>49725</t>
  </si>
  <si>
    <t>2998</t>
  </si>
  <si>
    <t>44364</t>
  </si>
  <si>
    <t>152172</t>
  </si>
  <si>
    <t>1378</t>
  </si>
  <si>
    <t>12080</t>
  </si>
  <si>
    <t>Food Science  &amp; Tech Ctr, Backbone Rd</t>
  </si>
  <si>
    <t xml:space="preserve">University Terrace </t>
  </si>
  <si>
    <t xml:space="preserve">No Change </t>
  </si>
  <si>
    <t xml:space="preserve">P. Hytche Athletic Center </t>
  </si>
  <si>
    <t xml:space="preserve">This is Fuel Source not a building </t>
  </si>
  <si>
    <t xml:space="preserve">Demolished </t>
  </si>
  <si>
    <t xml:space="preserve">No change </t>
  </si>
  <si>
    <t xml:space="preserve">Coastal Ecology </t>
  </si>
  <si>
    <t xml:space="preserve">Building </t>
  </si>
  <si>
    <t xml:space="preserve">To be demolished </t>
  </si>
  <si>
    <t>LAUNDRY ROOM, BACKBONE ROAD</t>
  </si>
  <si>
    <t>The Campus Main Account</t>
  </si>
  <si>
    <t>`</t>
  </si>
  <si>
    <t>Not in Use</t>
  </si>
  <si>
    <t>Owned</t>
  </si>
  <si>
    <t>owned</t>
  </si>
  <si>
    <t>Demolished</t>
  </si>
  <si>
    <t xml:space="preserve">55003385337 (Central) - U Of Md Eastern Shore - </t>
  </si>
  <si>
    <t xml:space="preserve">990899300 - 11802 MARSH VIEW LN. - </t>
  </si>
  <si>
    <t xml:space="preserve">1886102 - GreenHouse - </t>
  </si>
  <si>
    <t xml:space="preserve">665298800 - BACKBONE RD. IRRIGATION PUMP - </t>
  </si>
  <si>
    <t xml:space="preserve">1445300 - MARKSMAN FARM OFFICE - </t>
  </si>
  <si>
    <t xml:space="preserve">55009362223 - College Backbone Rd - </t>
  </si>
  <si>
    <t xml:space="preserve">55003538745 - 11850 Tom Nichols Rd - </t>
  </si>
  <si>
    <t xml:space="preserve">55007381340 - 11811 Tom Nichols Rd - </t>
  </si>
  <si>
    <t>Agric Building</t>
  </si>
  <si>
    <t>Chicken House</t>
  </si>
  <si>
    <t xml:space="preserve">55007427077 - 30578 Broad St - </t>
  </si>
  <si>
    <t xml:space="preserve">55007450400 - 30578 Broad St - </t>
  </si>
  <si>
    <t xml:space="preserve">55007380797 - 30578 Broad St - </t>
  </si>
  <si>
    <t xml:space="preserve">55007402112 - 30578 Broad St - </t>
  </si>
  <si>
    <t>48272</t>
  </si>
  <si>
    <t>30578 DR WILLIAM P HYTCHE, PRINCESS ANNE</t>
  </si>
  <si>
    <t>11868 COLLEGE BACKBONE RD, PRINCESS ANNE</t>
  </si>
  <si>
    <t>31044 W POST OFFICE RD, PRINCESS ANNE</t>
  </si>
  <si>
    <t>11850 TOM NICHOLS RD, PRINCESS ANNE</t>
  </si>
  <si>
    <t>DEMOLISHED</t>
  </si>
  <si>
    <t>THOMAS/BRIGGS</t>
  </si>
  <si>
    <t>Campus Meter</t>
  </si>
  <si>
    <t>55007453404 - 30578 Broad St - Campus Meter</t>
  </si>
  <si>
    <t>55007427333 - 30578 Broad St - Campus Meter</t>
  </si>
  <si>
    <t>55003538042 - College Backbone Rd - Campus Meter</t>
  </si>
  <si>
    <t>55007428794 - 30578 Broad St - Campus Meter</t>
  </si>
  <si>
    <t>55007355229 - 30578 Broad St - Campus Meter</t>
  </si>
  <si>
    <t>55007356888 - 30578 Broad St - Campus Meter</t>
  </si>
  <si>
    <t>55007452950 - 30578 Broad St - Campus Meter</t>
  </si>
  <si>
    <t>55007452364 - 30578 Broad St - Campus Meter</t>
  </si>
  <si>
    <t>55007379807 - 30578 Broad St - Campus Meter</t>
  </si>
  <si>
    <t>55007356193 - 30578 Broad St - Campus Meter</t>
  </si>
  <si>
    <t>55007426194 - 30578 Broad St - Campus Meter</t>
  </si>
  <si>
    <t>55007403136 - 30578 Broad St - Campus Meter</t>
  </si>
  <si>
    <t>55007426830 - 30578 Broad St - Campus Meter</t>
  </si>
  <si>
    <t>55007402450 - 30578 Broad St - Campus Meter</t>
  </si>
  <si>
    <t>55007452299 - 30578 Broad St - Campus Meter</t>
  </si>
  <si>
    <t>55007452109 - 30578 Broad St - Campus Meter</t>
  </si>
  <si>
    <t>55007451887 - 30578 Broad St - Campus Meter</t>
  </si>
  <si>
    <t>55007451549 - 30578 Broad St - Campus Meter</t>
  </si>
  <si>
    <t>55007405891 - 30578 Broad St - Campus Meter</t>
  </si>
  <si>
    <t>55007405636 - 30578 Broad St - Campus Meter</t>
  </si>
  <si>
    <t>55007380300 - 30578 Broad St - Campus Meter</t>
  </si>
  <si>
    <t>55007380946 - 30578 Broad St - Campus Meter</t>
  </si>
  <si>
    <t>55007379591 - 30578 Broad St - Campus Meter</t>
  </si>
  <si>
    <t>55007379120 - 30578 Broad St - Campus Meter</t>
  </si>
  <si>
    <t>55007378098 - 30578 Broad St - Campus Meter</t>
  </si>
  <si>
    <t>55007357837 - 30578 Broad St - Campus Meter</t>
  </si>
  <si>
    <t>55007405222 - 30578 Broad St - Campus Meter</t>
  </si>
  <si>
    <t>55007404845 - 30578 Broad St - Campus Meter</t>
  </si>
  <si>
    <t>55007403870 - 30578 Broad St - Campus Meter</t>
  </si>
  <si>
    <t>55007403433 - 30578 Broad St - Campus Meter</t>
  </si>
  <si>
    <t>55007404324 - 30578 Broad St - Campus Meter</t>
  </si>
  <si>
    <t>55007357266 - 30578 Broad St - Campus Meter</t>
  </si>
  <si>
    <t>55007356490 - 30578 Broad St - Campus Meter</t>
  </si>
  <si>
    <t>55007452695 - 30578 Broad St - Campus Meter</t>
  </si>
  <si>
    <t>55007381787 - 30578 Broad St - Campus Meter</t>
  </si>
  <si>
    <t>55007451150 - 30578 Broad St - Campus Meter</t>
  </si>
  <si>
    <t>55007427903 - 30578 Broad St - Campus Meter</t>
  </si>
  <si>
    <t>55007428141 - 30578 Broad St - Campus Meter</t>
  </si>
  <si>
    <t>55007429131 - 30578 Broad St - Campus Meter</t>
  </si>
  <si>
    <t>55007429586 - 30578 Broad St - Campus Meter</t>
  </si>
  <si>
    <t>55007450020 - 30578 Broad St - Campus Meter</t>
  </si>
  <si>
    <t>55007450822 - 30578 Broad St - Campus Meter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</si>
</sst>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0"/>
      <color theme="1"/>
      <name val="Tahoma"/>
      <family val="2"/>
    </font>
    <font>
      <sz val="11"/>
      <color theme="1"/>
      <name val="Tahoma"/>
      <family val="2"/>
    </font>
    <font>
      <i/>
      <sz val="9"/>
      <color theme="1"/>
      <name val="Tahoma"/>
      <family val="2"/>
    </font>
    <font>
      <b/>
      <sz val="11"/>
      <color theme="1"/>
      <name val="Calibri"/>
      <family val="2"/>
      <scheme val="minor"/>
    </font>
    <font>
      <sz val="12"/>
      <color rgb="FF000000"/>
      <name val="Arial"/>
      <family val="2"/>
    </font>
    <font>
      <b/>
      <sz val="12"/>
      <color rgb="FF000000"/>
      <name val="Arial"/>
      <family val="2"/>
    </font>
    <font>
      <sz val="12"/>
      <color theme="1"/>
      <name val="Arial"/>
      <family val="2"/>
    </font>
    <font>
      <b/>
      <sz val="10"/>
      <name val="Tahoma"/>
      <family val="2"/>
    </font>
    <font>
      <b/>
      <sz val="12"/>
      <color theme="1"/>
      <name val="Arial"/>
      <family val="2"/>
    </font>
    <font>
      <b/>
      <sz val="12"/>
      <color rgb="FF222222"/>
      <name val="Arial"/>
      <family val="2"/>
    </font>
    <font>
      <sz val="12"/>
      <color rgb="FF222222"/>
      <name val="Arial"/>
      <family val="2"/>
    </font>
    <font>
      <i/>
      <sz val="10"/>
      <name val="Tahoma"/>
      <family val="2"/>
    </font>
    <font>
      <b/>
      <i/>
      <sz val="10"/>
      <name val="Tahoma"/>
      <family val="2"/>
    </font>
    <font>
      <i/>
      <sz val="9"/>
      <name val="Tahoma"/>
      <family val="2"/>
    </font>
    <font>
      <sz val="10"/>
      <name val="Tahoma"/>
      <family val="2"/>
    </font>
    <font>
      <sz val="11"/>
      <name val="Tahoma"/>
      <family val="2"/>
    </font>
    <font>
      <sz val="11"/>
      <name val="Calibri"/>
      <family val="2"/>
      <scheme val="minor"/>
    </font>
    <font>
      <sz val="5"/>
      <color rgb="FF222222"/>
      <name val="Arial"/>
      <family val="2"/>
    </font>
  </fonts>
  <fills count="8">
    <fill>
      <patternFill patternType="none"/>
    </fill>
    <fill>
      <patternFill patternType="gray125"/>
    </fill>
    <fill>
      <patternFill patternType="solid">
        <fgColor theme="6" tint="0.79998168889431442"/>
        <bgColor indexed="64"/>
      </patternFill>
    </fill>
    <fill>
      <patternFill patternType="solid">
        <fgColor theme="6" tint="0.39997558519241921"/>
        <bgColor indexed="64"/>
      </patternFill>
    </fill>
    <fill>
      <patternFill patternType="solid">
        <fgColor rgb="FFFFFF99"/>
        <bgColor indexed="64"/>
      </patternFill>
    </fill>
    <fill>
      <patternFill patternType="solid">
        <fgColor theme="8" tint="0.79998168889431442"/>
        <bgColor indexed="64"/>
      </patternFill>
    </fill>
    <fill>
      <patternFill patternType="solid">
        <fgColor rgb="FFFFFF00"/>
        <bgColor indexed="64"/>
      </patternFill>
    </fill>
    <fill>
      <patternFill patternType="solid">
        <fgColor rgb="FFC00000"/>
        <bgColor indexed="64"/>
      </patternFill>
    </fill>
  </fills>
  <borders count="34">
    <border>
      <left/>
      <right/>
      <top/>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style="double">
        <color indexed="64"/>
      </left>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right/>
      <top style="medium">
        <color indexed="64"/>
      </top>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top style="double">
        <color indexed="64"/>
      </top>
      <bottom/>
      <diagonal/>
    </border>
    <border>
      <left style="thin">
        <color indexed="64"/>
      </left>
      <right style="thin">
        <color indexed="64"/>
      </right>
      <top style="double">
        <color theme="6" tint="-0.24973296304208503"/>
      </top>
      <bottom/>
      <diagonal/>
    </border>
  </borders>
  <cellStyleXfs count="1">
    <xf numFmtId="0" fontId="0" fillId="0" borderId="0"/>
  </cellStyleXfs>
  <cellXfs count="147">
    <xf numFmtId="0" fontId="0" fillId="0" borderId="0" xfId="0"/>
    <xf numFmtId="49" fontId="0" fillId="2" borderId="1" xfId="0" applyNumberFormat="1" applyFill="1" applyBorder="1" applyAlignment="1" applyProtection="1">
      <alignment horizontal="right"/>
    </xf>
    <xf numFmtId="49" fontId="0" fillId="0" borderId="0" xfId="0" applyNumberFormat="1" applyAlignment="1" applyProtection="1">
      <alignment horizontal="right"/>
      <protection locked="0"/>
    </xf>
    <xf numFmtId="49" fontId="0" fillId="0" borderId="1" xfId="0" applyNumberFormat="1" applyBorder="1" applyAlignment="1" applyProtection="1">
      <alignment horizontal="right"/>
      <protection locked="0"/>
    </xf>
    <xf numFmtId="14" fontId="0" fillId="2" borderId="1" xfId="0" applyNumberFormat="1" applyFill="1" applyBorder="1" applyAlignment="1" applyProtection="1">
      <alignment horizontal="right"/>
    </xf>
    <xf numFmtId="49" fontId="0" fillId="0" borderId="0" xfId="0" applyNumberFormat="1"/>
    <xf numFmtId="14" fontId="0" fillId="0" borderId="1" xfId="0" applyNumberFormat="1" applyBorder="1" applyAlignment="1" applyProtection="1">
      <alignment horizontal="right"/>
      <protection locked="0"/>
    </xf>
    <xf numFmtId="49" fontId="2" fillId="0" borderId="0" xfId="0" applyNumberFormat="1" applyFont="1" applyAlignment="1" applyProtection="1">
      <alignment horizontal="center"/>
      <protection locked="0"/>
    </xf>
    <xf numFmtId="49" fontId="1" fillId="0" borderId="0" xfId="0" applyNumberFormat="1" applyFont="1" applyAlignment="1" applyProtection="1">
      <alignment horizontal="center"/>
      <protection locked="0"/>
    </xf>
    <xf numFmtId="49" fontId="3" fillId="0" borderId="0" xfId="0" applyNumberFormat="1" applyFont="1" applyAlignment="1" applyProtection="1">
      <alignment horizontal="right"/>
      <protection locked="0"/>
    </xf>
    <xf numFmtId="49" fontId="0" fillId="0" borderId="0" xfId="0" applyNumberFormat="1" applyBorder="1" applyAlignment="1" applyProtection="1">
      <alignment horizontal="right"/>
      <protection locked="0"/>
    </xf>
    <xf numFmtId="0" fontId="0" fillId="0" borderId="0" xfId="0" applyAlignment="1">
      <alignment wrapText="1"/>
    </xf>
    <xf numFmtId="0" fontId="0" fillId="0" borderId="0" xfId="0" applyAlignment="1"/>
    <xf numFmtId="0" fontId="4" fillId="0" borderId="0" xfId="0" applyFont="1" applyAlignment="1"/>
    <xf numFmtId="0" fontId="0" fillId="0" borderId="3" xfId="0" applyBorder="1"/>
    <xf numFmtId="0" fontId="0" fillId="0" borderId="0" xfId="0" applyBorder="1"/>
    <xf numFmtId="49" fontId="0" fillId="0" borderId="0" xfId="0" applyNumberFormat="1" applyFill="1" applyAlignment="1" applyProtection="1">
      <alignment horizontal="right"/>
      <protection locked="0"/>
    </xf>
    <xf numFmtId="0" fontId="4" fillId="0" borderId="6" xfId="0" applyFont="1" applyBorder="1"/>
    <xf numFmtId="0" fontId="0" fillId="0" borderId="5" xfId="0" applyBorder="1"/>
    <xf numFmtId="0" fontId="7" fillId="0" borderId="0" xfId="0" applyFont="1" applyBorder="1" applyAlignment="1">
      <alignment vertical="center" wrapText="1"/>
    </xf>
    <xf numFmtId="49" fontId="0" fillId="0" borderId="1" xfId="0" applyNumberFormat="1" applyFill="1" applyBorder="1" applyAlignment="1" applyProtection="1">
      <alignment horizontal="right"/>
      <protection locked="0"/>
    </xf>
    <xf numFmtId="49" fontId="8" fillId="5" borderId="1" xfId="0" applyNumberFormat="1" applyFont="1" applyFill="1" applyBorder="1" applyAlignment="1">
      <alignment horizontal="center" vertical="center" wrapText="1"/>
    </xf>
    <xf numFmtId="49" fontId="0" fillId="2" borderId="2" xfId="0" applyNumberFormat="1" applyFill="1" applyBorder="1" applyAlignment="1" applyProtection="1">
      <alignment wrapText="1"/>
    </xf>
    <xf numFmtId="49" fontId="0" fillId="0" borderId="0" xfId="0" applyNumberFormat="1" applyFill="1" applyBorder="1" applyAlignment="1" applyProtection="1">
      <alignment horizontal="right"/>
      <protection locked="0"/>
    </xf>
    <xf numFmtId="49" fontId="2" fillId="0" borderId="0" xfId="0" applyNumberFormat="1" applyFont="1" applyBorder="1" applyAlignment="1" applyProtection="1">
      <alignment horizontal="center"/>
      <protection locked="0"/>
    </xf>
    <xf numFmtId="49" fontId="0" fillId="0" borderId="0" xfId="0" applyNumberFormat="1" applyFill="1" applyBorder="1" applyAlignment="1" applyProtection="1">
      <alignment horizontal="right" wrapText="1"/>
      <protection locked="0"/>
    </xf>
    <xf numFmtId="49" fontId="8" fillId="5" borderId="8" xfId="0" applyNumberFormat="1" applyFont="1" applyFill="1" applyBorder="1" applyAlignment="1">
      <alignment horizontal="center" vertical="center" wrapText="1"/>
    </xf>
    <xf numFmtId="49" fontId="8" fillId="3" borderId="8" xfId="0" applyNumberFormat="1" applyFont="1" applyFill="1" applyBorder="1" applyAlignment="1">
      <alignment horizontal="center" vertical="center" wrapText="1"/>
    </xf>
    <xf numFmtId="49" fontId="8" fillId="4" borderId="8" xfId="0" applyNumberFormat="1" applyFont="1" applyFill="1" applyBorder="1" applyAlignment="1">
      <alignment horizontal="center" vertical="center" wrapText="1"/>
    </xf>
    <xf numFmtId="49" fontId="0" fillId="0" borderId="0" xfId="0" applyNumberFormat="1" applyFill="1" applyBorder="1" applyAlignment="1" applyProtection="1">
      <alignment horizontal="right"/>
    </xf>
    <xf numFmtId="49" fontId="1" fillId="0" borderId="0" xfId="0" applyNumberFormat="1" applyFont="1" applyBorder="1" applyAlignment="1" applyProtection="1">
      <alignment horizontal="center"/>
      <protection locked="0"/>
    </xf>
    <xf numFmtId="49" fontId="3" fillId="0" borderId="0" xfId="0" applyNumberFormat="1" applyFont="1" applyBorder="1" applyAlignment="1" applyProtection="1">
      <alignment horizontal="right"/>
      <protection locked="0"/>
    </xf>
    <xf numFmtId="0" fontId="7" fillId="0" borderId="0" xfId="0" applyFont="1" applyBorder="1" applyAlignment="1">
      <alignment vertical="top" wrapText="1"/>
    </xf>
    <xf numFmtId="0" fontId="0" fillId="0" borderId="4" xfId="0" applyFill="1" applyBorder="1" applyAlignment="1"/>
    <xf numFmtId="0" fontId="0" fillId="0" borderId="4" xfId="0" applyBorder="1" applyAlignment="1"/>
    <xf numFmtId="0" fontId="5" fillId="0" borderId="19" xfId="0" applyFont="1" applyBorder="1" applyAlignment="1">
      <alignment vertical="top" wrapText="1"/>
    </xf>
    <xf numFmtId="0" fontId="6" fillId="0" borderId="4" xfId="0" applyFont="1" applyBorder="1" applyAlignment="1"/>
    <xf numFmtId="0" fontId="7" fillId="0" borderId="4" xfId="0" applyFont="1" applyBorder="1"/>
    <xf numFmtId="0" fontId="7" fillId="0" borderId="4" xfId="0" applyFont="1" applyBorder="1" applyAlignment="1">
      <alignment wrapText="1"/>
    </xf>
    <xf numFmtId="49" fontId="8" fillId="5" borderId="9" xfId="0" applyNumberFormat="1" applyFont="1" applyFill="1" applyBorder="1" applyAlignment="1">
      <alignment horizontal="center" vertical="center" wrapText="1"/>
    </xf>
    <xf numFmtId="49" fontId="0" fillId="0" borderId="2" xfId="0" applyNumberFormat="1" applyBorder="1" applyAlignment="1" applyProtection="1">
      <alignment horizontal="right"/>
      <protection locked="0"/>
    </xf>
    <xf numFmtId="49" fontId="0" fillId="0" borderId="20" xfId="0" applyNumberFormat="1" applyBorder="1" applyAlignment="1" applyProtection="1">
      <alignment horizontal="right"/>
      <protection locked="0"/>
    </xf>
    <xf numFmtId="49" fontId="0" fillId="0" borderId="20" xfId="0" applyNumberFormat="1" applyFill="1" applyBorder="1" applyAlignment="1" applyProtection="1">
      <alignment horizontal="right"/>
      <protection locked="0"/>
    </xf>
    <xf numFmtId="0" fontId="0" fillId="0" borderId="0" xfId="0" applyFill="1" applyBorder="1"/>
    <xf numFmtId="0" fontId="0" fillId="0" borderId="4" xfId="0" applyBorder="1"/>
    <xf numFmtId="0" fontId="0" fillId="0" borderId="4" xfId="0" applyFill="1" applyBorder="1"/>
    <xf numFmtId="0" fontId="4" fillId="0" borderId="21" xfId="0" applyFont="1" applyBorder="1"/>
    <xf numFmtId="0" fontId="4" fillId="0" borderId="21" xfId="0" applyFont="1" applyFill="1" applyBorder="1"/>
    <xf numFmtId="0" fontId="0" fillId="0" borderId="0" xfId="0" applyFill="1" applyAlignment="1"/>
    <xf numFmtId="0" fontId="0" fillId="0" borderId="0" xfId="0" applyFill="1" applyBorder="1" applyAlignment="1"/>
    <xf numFmtId="0" fontId="6" fillId="0" borderId="0" xfId="0" applyFont="1" applyFill="1" applyBorder="1" applyAlignment="1">
      <alignment vertical="top"/>
    </xf>
    <xf numFmtId="0" fontId="7" fillId="0" borderId="0" xfId="0" applyFont="1" applyFill="1" applyBorder="1" applyAlignment="1">
      <alignment wrapText="1"/>
    </xf>
    <xf numFmtId="0" fontId="4" fillId="0" borderId="24" xfId="0" applyFont="1" applyFill="1" applyBorder="1"/>
    <xf numFmtId="0" fontId="0" fillId="0" borderId="23" xfId="0" applyFill="1" applyBorder="1"/>
    <xf numFmtId="0" fontId="4" fillId="0" borderId="0" xfId="0" applyFont="1" applyFill="1" applyBorder="1"/>
    <xf numFmtId="0" fontId="0" fillId="0" borderId="11" xfId="0" applyBorder="1"/>
    <xf numFmtId="0" fontId="0" fillId="0" borderId="11" xfId="0" applyFill="1" applyBorder="1"/>
    <xf numFmtId="0" fontId="0" fillId="0" borderId="26" xfId="0" applyFill="1" applyBorder="1"/>
    <xf numFmtId="0" fontId="0" fillId="0" borderId="23" xfId="0" applyBorder="1" applyAlignment="1"/>
    <xf numFmtId="0" fontId="4" fillId="0" borderId="29" xfId="0" applyFont="1" applyFill="1" applyBorder="1" applyAlignment="1"/>
    <xf numFmtId="0" fontId="4" fillId="0" borderId="16" xfId="0" applyFont="1" applyBorder="1" applyAlignment="1"/>
    <xf numFmtId="0" fontId="4" fillId="0" borderId="16" xfId="0" applyFont="1" applyFill="1" applyBorder="1" applyAlignment="1"/>
    <xf numFmtId="0" fontId="4" fillId="0" borderId="25" xfId="0" applyFont="1" applyFill="1" applyBorder="1"/>
    <xf numFmtId="0" fontId="0" fillId="0" borderId="22" xfId="0" applyFill="1" applyBorder="1"/>
    <xf numFmtId="0" fontId="0" fillId="0" borderId="5" xfId="0" applyBorder="1" applyAlignment="1">
      <alignment wrapText="1"/>
    </xf>
    <xf numFmtId="0" fontId="0" fillId="0" borderId="30" xfId="0" applyBorder="1"/>
    <xf numFmtId="0" fontId="0" fillId="0" borderId="31" xfId="0" applyBorder="1" applyAlignment="1">
      <alignment wrapText="1"/>
    </xf>
    <xf numFmtId="0" fontId="4" fillId="0" borderId="11" xfId="0" applyFont="1" applyBorder="1"/>
    <xf numFmtId="0" fontId="4" fillId="0" borderId="23" xfId="0" applyFont="1" applyBorder="1" applyAlignment="1">
      <alignment vertical="top"/>
    </xf>
    <xf numFmtId="0" fontId="4" fillId="0" borderId="22" xfId="0" applyFont="1" applyBorder="1" applyAlignment="1">
      <alignment vertical="top" wrapText="1"/>
    </xf>
    <xf numFmtId="0" fontId="4" fillId="0" borderId="26" xfId="0" applyFont="1" applyBorder="1" applyAlignment="1">
      <alignment vertical="top"/>
    </xf>
    <xf numFmtId="0" fontId="4" fillId="0" borderId="6" xfId="0" applyFont="1" applyBorder="1" applyAlignment="1">
      <alignment horizontal="left" vertical="top" wrapText="1"/>
    </xf>
    <xf numFmtId="0" fontId="9" fillId="0" borderId="4" xfId="0" applyFont="1" applyBorder="1" applyAlignment="1">
      <alignment vertical="center" wrapText="1"/>
    </xf>
    <xf numFmtId="0" fontId="7" fillId="0" borderId="11" xfId="0" applyNumberFormat="1" applyFont="1" applyBorder="1"/>
    <xf numFmtId="0" fontId="7" fillId="0" borderId="26" xfId="0" applyNumberFormat="1" applyFont="1" applyBorder="1"/>
    <xf numFmtId="0" fontId="10" fillId="0" borderId="27" xfId="0" applyNumberFormat="1" applyFont="1" applyBorder="1" applyAlignment="1">
      <alignment vertical="center"/>
    </xf>
    <xf numFmtId="0" fontId="7" fillId="0" borderId="0" xfId="0" applyNumberFormat="1" applyFont="1" applyBorder="1"/>
    <xf numFmtId="0" fontId="7" fillId="0" borderId="28" xfId="0" applyNumberFormat="1" applyFont="1" applyBorder="1"/>
    <xf numFmtId="0" fontId="7" fillId="0" borderId="27" xfId="0" applyNumberFormat="1" applyFont="1" applyBorder="1"/>
    <xf numFmtId="0" fontId="11" fillId="0" borderId="27" xfId="0" applyNumberFormat="1" applyFont="1" applyBorder="1" applyAlignment="1">
      <alignment vertical="center"/>
    </xf>
    <xf numFmtId="0" fontId="9" fillId="0" borderId="27" xfId="0" applyNumberFormat="1" applyFont="1" applyBorder="1"/>
    <xf numFmtId="0" fontId="11" fillId="0" borderId="27" xfId="0" applyNumberFormat="1" applyFont="1" applyBorder="1"/>
    <xf numFmtId="0" fontId="7" fillId="0" borderId="12" xfId="0" applyNumberFormat="1" applyFont="1" applyBorder="1"/>
    <xf numFmtId="0" fontId="7" fillId="0" borderId="24" xfId="0" applyNumberFormat="1" applyFont="1" applyBorder="1"/>
    <xf numFmtId="0" fontId="0" fillId="0" borderId="22" xfId="0" applyNumberFormat="1" applyFill="1" applyBorder="1"/>
    <xf numFmtId="49" fontId="8" fillId="5" borderId="32" xfId="0" applyNumberFormat="1" applyFont="1" applyFill="1" applyBorder="1" applyAlignment="1">
      <alignment horizontal="center" vertical="center" wrapText="1"/>
    </xf>
    <xf numFmtId="49" fontId="8" fillId="0" borderId="7" xfId="0" applyNumberFormat="1" applyFont="1" applyBorder="1" applyAlignment="1" applyProtection="1">
      <alignment horizontal="center" vertical="center"/>
      <protection locked="0"/>
    </xf>
    <xf numFmtId="49" fontId="8" fillId="2" borderId="8" xfId="0" applyNumberFormat="1" applyFont="1" applyFill="1" applyBorder="1" applyAlignment="1" applyProtection="1">
      <alignment horizontal="center" vertical="center"/>
    </xf>
    <xf numFmtId="49" fontId="8" fillId="5" borderId="9" xfId="0" applyNumberFormat="1" applyFont="1" applyFill="1" applyBorder="1" applyAlignment="1" applyProtection="1">
      <alignment horizontal="center" vertical="center" wrapText="1"/>
    </xf>
    <xf numFmtId="49" fontId="8" fillId="5" borderId="8" xfId="0" applyNumberFormat="1" applyFont="1" applyFill="1" applyBorder="1" applyAlignment="1" applyProtection="1">
      <alignment horizontal="center" vertical="center"/>
      <protection locked="0"/>
    </xf>
    <xf numFmtId="49" fontId="8" fillId="5" borderId="10" xfId="0" applyNumberFormat="1" applyFont="1" applyFill="1" applyBorder="1" applyAlignment="1" applyProtection="1">
      <alignment horizontal="center" vertical="center" wrapText="1"/>
      <protection locked="0"/>
    </xf>
    <xf numFmtId="49" fontId="12" fillId="0" borderId="13" xfId="0" applyNumberFormat="1" applyFont="1" applyBorder="1" applyAlignment="1" applyProtection="1">
      <alignment horizontal="center" vertical="center" wrapText="1"/>
      <protection locked="0"/>
    </xf>
    <xf numFmtId="49" fontId="12" fillId="2" borderId="15" xfId="0" applyNumberFormat="1" applyFont="1" applyFill="1" applyBorder="1" applyAlignment="1" applyProtection="1">
      <alignment horizontal="center" vertical="center" wrapText="1"/>
    </xf>
    <xf numFmtId="49" fontId="12" fillId="0" borderId="11" xfId="0" applyNumberFormat="1" applyFont="1" applyBorder="1" applyAlignment="1" applyProtection="1">
      <alignment horizontal="center" vertical="center" wrapText="1"/>
      <protection locked="0"/>
    </xf>
    <xf numFmtId="49" fontId="12" fillId="0" borderId="15" xfId="0" applyNumberFormat="1" applyFont="1" applyBorder="1" applyAlignment="1" applyProtection="1">
      <alignment horizontal="center" vertical="center" wrapText="1"/>
      <protection locked="0"/>
    </xf>
    <xf numFmtId="49" fontId="13" fillId="0" borderId="11" xfId="0" applyNumberFormat="1" applyFont="1" applyBorder="1" applyAlignment="1" applyProtection="1">
      <alignment horizontal="center" vertical="center" wrapText="1"/>
      <protection locked="0"/>
    </xf>
    <xf numFmtId="49" fontId="12" fillId="2" borderId="11" xfId="0" applyNumberFormat="1" applyFont="1" applyFill="1" applyBorder="1" applyAlignment="1" applyProtection="1">
      <alignment horizontal="center" vertical="center" wrapText="1"/>
    </xf>
    <xf numFmtId="49" fontId="14" fillId="2" borderId="17" xfId="0" applyNumberFormat="1" applyFont="1" applyFill="1" applyBorder="1" applyAlignment="1" applyProtection="1">
      <alignment vertical="center" wrapText="1"/>
    </xf>
    <xf numFmtId="49" fontId="14" fillId="0" borderId="15" xfId="0" applyNumberFormat="1" applyFont="1" applyBorder="1" applyAlignment="1" applyProtection="1">
      <alignment horizontal="center" vertical="center" wrapText="1"/>
      <protection locked="0"/>
    </xf>
    <xf numFmtId="49" fontId="14" fillId="0" borderId="11" xfId="0" applyNumberFormat="1" applyFont="1" applyBorder="1" applyAlignment="1" applyProtection="1">
      <alignment horizontal="center" vertical="center" wrapText="1"/>
      <protection locked="0"/>
    </xf>
    <xf numFmtId="49" fontId="12" fillId="0" borderId="15" xfId="0" applyNumberFormat="1" applyFont="1" applyFill="1" applyBorder="1" applyAlignment="1" applyProtection="1">
      <alignment horizontal="center" vertical="center" wrapText="1"/>
    </xf>
    <xf numFmtId="14" fontId="12" fillId="2" borderId="15" xfId="0" applyNumberFormat="1" applyFont="1" applyFill="1" applyBorder="1" applyAlignment="1" applyProtection="1">
      <alignment horizontal="center" vertical="center" wrapText="1"/>
    </xf>
    <xf numFmtId="14" fontId="12" fillId="0" borderId="15" xfId="0" applyNumberFormat="1" applyFont="1" applyBorder="1" applyAlignment="1" applyProtection="1">
      <alignment horizontal="center" vertical="center" wrapText="1"/>
      <protection locked="0"/>
    </xf>
    <xf numFmtId="49" fontId="12" fillId="0" borderId="17" xfId="0" applyNumberFormat="1" applyFont="1" applyBorder="1" applyAlignment="1" applyProtection="1">
      <alignment horizontal="center" vertical="center" wrapText="1"/>
      <protection locked="0"/>
    </xf>
    <xf numFmtId="49" fontId="14" fillId="0" borderId="6" xfId="0" applyNumberFormat="1" applyFont="1" applyBorder="1" applyAlignment="1" applyProtection="1">
      <alignment horizontal="right"/>
      <protection locked="0"/>
    </xf>
    <xf numFmtId="49" fontId="15" fillId="0" borderId="14" xfId="0" applyNumberFormat="1" applyFont="1" applyBorder="1" applyAlignment="1" applyProtection="1">
      <alignment horizontal="center" vertical="center"/>
      <protection locked="0"/>
    </xf>
    <xf numFmtId="49" fontId="15" fillId="2" borderId="16" xfId="0" applyNumberFormat="1" applyFont="1" applyFill="1" applyBorder="1" applyAlignment="1" applyProtection="1">
      <alignment horizontal="center" vertical="center"/>
    </xf>
    <xf numFmtId="49" fontId="15" fillId="0" borderId="12" xfId="0" applyNumberFormat="1" applyFont="1" applyBorder="1" applyAlignment="1" applyProtection="1">
      <alignment horizontal="center" vertical="center"/>
      <protection locked="0"/>
    </xf>
    <xf numFmtId="49" fontId="15" fillId="0" borderId="16" xfId="0" applyNumberFormat="1" applyFont="1" applyBorder="1" applyAlignment="1" applyProtection="1">
      <alignment horizontal="center" vertical="center"/>
      <protection locked="0"/>
    </xf>
    <xf numFmtId="49" fontId="15" fillId="2" borderId="12" xfId="0" applyNumberFormat="1" applyFont="1" applyFill="1" applyBorder="1" applyAlignment="1" applyProtection="1">
      <alignment horizontal="center" vertical="center"/>
    </xf>
    <xf numFmtId="49" fontId="15" fillId="2" borderId="18" xfId="0" applyNumberFormat="1" applyFont="1" applyFill="1" applyBorder="1" applyAlignment="1" applyProtection="1">
      <alignment horizontal="center" wrapText="1"/>
    </xf>
    <xf numFmtId="49" fontId="15" fillId="0" borderId="16" xfId="0" applyNumberFormat="1" applyFont="1" applyBorder="1" applyAlignment="1" applyProtection="1">
      <alignment horizontal="center"/>
      <protection locked="0"/>
    </xf>
    <xf numFmtId="49" fontId="16" fillId="0" borderId="12" xfId="0" applyNumberFormat="1" applyFont="1" applyBorder="1" applyAlignment="1" applyProtection="1">
      <alignment horizontal="center"/>
      <protection locked="0"/>
    </xf>
    <xf numFmtId="49" fontId="16" fillId="0" borderId="12" xfId="0" applyNumberFormat="1" applyFont="1" applyFill="1" applyBorder="1" applyAlignment="1" applyProtection="1">
      <alignment horizontal="center"/>
      <protection locked="0"/>
    </xf>
    <xf numFmtId="14" fontId="15" fillId="2" borderId="16" xfId="0" applyNumberFormat="1" applyFont="1" applyFill="1" applyBorder="1" applyAlignment="1" applyProtection="1">
      <alignment horizontal="center" vertical="center"/>
    </xf>
    <xf numFmtId="14" fontId="15" fillId="0" borderId="16" xfId="0" applyNumberFormat="1" applyFont="1" applyBorder="1" applyAlignment="1" applyProtection="1">
      <alignment horizontal="center" vertical="center"/>
      <protection locked="0"/>
    </xf>
    <xf numFmtId="49" fontId="15" fillId="0" borderId="18" xfId="0" applyNumberFormat="1" applyFont="1" applyBorder="1" applyAlignment="1" applyProtection="1">
      <alignment horizontal="center" vertical="center"/>
      <protection locked="0"/>
    </xf>
    <xf numFmtId="49" fontId="16" fillId="0" borderId="25" xfId="0" applyNumberFormat="1" applyFont="1" applyBorder="1" applyAlignment="1" applyProtection="1">
      <alignment horizontal="center"/>
      <protection locked="0"/>
    </xf>
    <xf numFmtId="49" fontId="17" fillId="0" borderId="0" xfId="0" applyNumberFormat="1" applyFont="1" applyAlignment="1" applyProtection="1">
      <alignment horizontal="right"/>
      <protection locked="0"/>
    </xf>
    <xf numFmtId="49" fontId="17" fillId="2" borderId="1" xfId="0" applyNumberFormat="1" applyFont="1" applyFill="1" applyBorder="1" applyAlignment="1" applyProtection="1">
      <alignment horizontal="right"/>
    </xf>
    <xf numFmtId="49" fontId="17" fillId="2" borderId="2" xfId="0" applyNumberFormat="1" applyFont="1" applyFill="1" applyBorder="1" applyAlignment="1" applyProtection="1">
      <alignment wrapText="1"/>
    </xf>
    <xf numFmtId="49" fontId="17" fillId="0" borderId="1" xfId="0" applyNumberFormat="1" applyFont="1" applyBorder="1" applyAlignment="1" applyProtection="1">
      <alignment wrapText="1"/>
      <protection locked="0"/>
    </xf>
    <xf numFmtId="49" fontId="17" fillId="0" borderId="0" xfId="0" applyNumberFormat="1" applyFont="1" applyBorder="1" applyAlignment="1" applyProtection="1">
      <alignment horizontal="right"/>
      <protection locked="0"/>
    </xf>
    <xf numFmtId="49" fontId="17" fillId="0" borderId="0" xfId="0" applyNumberFormat="1" applyFont="1" applyFill="1" applyBorder="1" applyAlignment="1" applyProtection="1">
      <alignment horizontal="right"/>
      <protection locked="0"/>
    </xf>
    <xf numFmtId="14" fontId="17" fillId="2" borderId="1" xfId="0" applyNumberFormat="1" applyFont="1" applyFill="1" applyBorder="1" applyAlignment="1" applyProtection="1">
      <alignment horizontal="right"/>
    </xf>
    <xf numFmtId="14" fontId="17" fillId="0" borderId="1" xfId="0" applyNumberFormat="1" applyFont="1" applyBorder="1" applyAlignment="1" applyProtection="1">
      <alignment horizontal="right"/>
      <protection locked="0"/>
    </xf>
    <xf numFmtId="49" fontId="17" fillId="0" borderId="1" xfId="0" applyNumberFormat="1" applyFont="1" applyBorder="1" applyAlignment="1" applyProtection="1">
      <alignment horizontal="right"/>
      <protection locked="0"/>
    </xf>
    <xf numFmtId="49" fontId="17" fillId="0" borderId="2" xfId="0" applyNumberFormat="1" applyFont="1" applyBorder="1" applyAlignment="1" applyProtection="1">
      <alignment horizontal="right"/>
      <protection locked="0"/>
    </xf>
    <xf numFmtId="49" fontId="17" fillId="0" borderId="27" xfId="0" applyNumberFormat="1" applyFont="1" applyBorder="1" applyAlignment="1" applyProtection="1">
      <alignment horizontal="right"/>
      <protection locked="0"/>
    </xf>
    <xf numFmtId="0" fontId="0" fillId="0" borderId="28" xfId="0" applyBorder="1"/>
    <xf numFmtId="0" fontId="11" fillId="0" borderId="0" xfId="0" applyNumberFormat="1" applyFont="1" applyBorder="1" applyAlignment="1">
      <alignment vertical="center"/>
    </xf>
    <xf numFmtId="0" fontId="10" fillId="0" borderId="0" xfId="0" applyNumberFormat="1" applyFont="1" applyBorder="1" applyAlignment="1">
      <alignment vertical="center"/>
    </xf>
    <xf numFmtId="0" fontId="11" fillId="0" borderId="0" xfId="0" applyNumberFormat="1" applyFont="1" applyBorder="1" applyAlignment="1"/>
    <xf numFmtId="0" fontId="11" fillId="0" borderId="25" xfId="0" applyNumberFormat="1" applyFont="1" applyBorder="1" applyAlignment="1"/>
    <xf numFmtId="0" fontId="0" fillId="0" borderId="12" xfId="0" applyBorder="1"/>
    <xf numFmtId="0" fontId="0" fillId="0" borderId="24" xfId="0" applyBorder="1"/>
    <xf numFmtId="0" fontId="0" fillId="0" borderId="19" xfId="0" applyBorder="1"/>
    <xf numFmtId="0" fontId="0" fillId="0" borderId="19" xfId="0" applyFill="1" applyBorder="1"/>
    <xf numFmtId="0" fontId="0" fillId="0" borderId="6" xfId="0" applyNumberFormat="1" applyFill="1" applyBorder="1"/>
    <xf numFmtId="49" fontId="17" fillId="0" borderId="1" xfId="0" applyNumberFormat="1" applyFont="1" applyFill="1" applyBorder="1" applyAlignment="1" applyProtection="1">
      <alignment horizontal="right"/>
      <protection locked="0"/>
    </xf>
    <xf numFmtId="49" fontId="17" fillId="0" borderId="0" xfId="0" applyNumberFormat="1" applyFont="1" applyFill="1" applyBorder="1" applyAlignment="1" applyProtection="1">
      <alignment horizontal="right" wrapText="1"/>
      <protection locked="0"/>
    </xf>
    <xf numFmtId="14" fontId="0" fillId="0" borderId="33" xfId="0" applyNumberFormat="1" applyBorder="1" applyAlignment="1" applyProtection="1">
      <alignment horizontal="right"/>
      <protection locked="0"/>
    </xf>
    <xf numFmtId="49" fontId="17" fillId="6" borderId="0" xfId="0" applyNumberFormat="1" applyFont="1" applyFill="1" applyAlignment="1" applyProtection="1">
      <alignment horizontal="right"/>
      <protection locked="0"/>
    </xf>
    <xf numFmtId="49" fontId="0" fillId="7" borderId="1" xfId="0" applyNumberFormat="1" applyFill="1" applyBorder="1" applyAlignment="1" applyProtection="1">
      <alignment horizontal="right"/>
    </xf>
    <xf numFmtId="49" fontId="17" fillId="0" borderId="0" xfId="0" applyNumberFormat="1" applyFont="1" applyBorder="1" applyAlignment="1" applyProtection="1">
      <alignment horizontal="right" wrapText="1"/>
      <protection locked="0"/>
    </xf>
    <xf numFmtId="49" fontId="17" fillId="6" borderId="0" xfId="0" applyNumberFormat="1" applyFont="1" applyFill="1" applyBorder="1" applyAlignment="1" applyProtection="1">
      <alignment horizontal="right"/>
      <protection locked="0"/>
    </xf>
    <xf numFmtId="0" fontId="18" fillId="0" borderId="0" xfId="0" applyFont="1"/>
  </cellXfs>
  <cellStyles count="1">
    <cellStyle name="Normal" xfId="0" builtinId="0"/>
  </cellStyles>
  <dxfs count="92">
    <dxf>
      <alignment horizontal="general" vertical="bottom" textRotation="0" wrapText="1" indent="0" justifyLastLine="0" shrinkToFit="0" readingOrder="0"/>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right style="thin">
          <color indexed="64"/>
        </right>
        <bottom style="thin">
          <color indexed="64"/>
        </bottom>
      </border>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medium">
          <color indexed="64"/>
        </left>
        <right/>
        <top/>
        <bottom/>
      </border>
      <protection locked="0" hidden="0"/>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thin">
          <color indexed="64"/>
        </left>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19" formatCode="m/d/yyyy"/>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19" formatCode="m/d/yyyy"/>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19" formatCode="m/d/yyyy"/>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19" formatCode="m/d/yyyy"/>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fill>
        <patternFill patternType="none">
          <fgColor indexed="64"/>
          <bgColor indexed="65"/>
        </patternFill>
      </fill>
      <alignment horizontal="right" vertical="bottom" textRotation="0" wrapText="1" indent="0" justifyLastLine="0" shrinkToFit="0" readingOrder="0"/>
      <protection locked="0" hidden="0"/>
    </dxf>
    <dxf>
      <font>
        <strike val="0"/>
        <outline val="0"/>
        <shadow val="0"/>
        <u val="none"/>
        <vertAlign val="baseline"/>
        <color auto="1"/>
      </font>
      <numFmt numFmtId="30" formatCode="@"/>
      <fill>
        <patternFill patternType="none">
          <fgColor indexed="64"/>
          <bgColor indexed="65"/>
        </patternFill>
      </fill>
      <alignment horizontal="right" vertical="bottom" textRotation="0" wrapText="1" indent="0" justifyLastLine="0" shrinkToFit="0" readingOrder="0"/>
      <protection locked="0" hidden="0"/>
    </dxf>
    <dxf>
      <font>
        <strike val="0"/>
        <outline val="0"/>
        <shadow val="0"/>
        <u val="none"/>
        <vertAlign val="baseline"/>
        <color auto="1"/>
      </font>
      <numFmt numFmtId="30" formatCode="@"/>
      <fill>
        <patternFill patternType="none">
          <fgColor indexed="64"/>
          <bgColor indexed="65"/>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general" vertical="bottom" textRotation="0" wrapText="1" indent="0" justifyLastLine="0" shrinkToFit="0" readingOrder="0"/>
      <border diagonalUp="0" diagonalDown="0" outline="0">
        <left style="thin">
          <color indexed="64"/>
        </left>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fill>
        <patternFill patternType="solid">
          <fgColor indexed="64"/>
          <bgColor theme="6" tint="0.79998168889431442"/>
        </patternFill>
      </fill>
      <alignment horizontal="right" vertical="bottom" textRotation="0" wrapText="0"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color auto="1"/>
      </font>
      <numFmt numFmtId="30" formatCode="@"/>
      <alignment horizontal="right" vertical="bottom" textRotation="0" wrapText="0" indent="0" justifyLastLine="0" shrinkToFit="0" readingOrder="0"/>
      <protection locked="0" hidden="0"/>
    </dxf>
    <dxf>
      <border outline="0">
        <right style="medium">
          <color indexed="64"/>
        </right>
      </border>
    </dxf>
    <dxf>
      <font>
        <strike val="0"/>
        <outline val="0"/>
        <shadow val="0"/>
        <u val="none"/>
        <vertAlign val="baseline"/>
        <color auto="1"/>
      </font>
    </dxf>
    <dxf>
      <font>
        <b/>
        <i val="0"/>
        <strike val="0"/>
        <condense val="0"/>
        <extend val="0"/>
        <outline val="0"/>
        <shadow val="0"/>
        <u val="none"/>
        <vertAlign val="baseline"/>
        <sz val="10"/>
        <color auto="1"/>
        <name val="Tahoma"/>
        <scheme val="none"/>
      </font>
      <numFmt numFmtId="30" formatCode="@"/>
      <fill>
        <patternFill patternType="solid">
          <fgColor indexed="64"/>
          <bgColor theme="8" tint="0.79998168889431442"/>
        </patternFill>
      </fill>
      <alignment horizontal="center" vertical="center" textRotation="0" wrapText="1" indent="0" justifyLastLine="0" shrinkToFit="0" readingOrder="0"/>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numFmt numFmtId="0" formatCode="General"/>
      <fill>
        <patternFill patternType="none">
          <fgColor indexed="64"/>
          <bgColor auto="1"/>
        </patternFill>
      </fill>
      <border diagonalUp="0" diagonalDown="0">
        <left style="medium">
          <color indexed="64"/>
        </left>
        <right/>
        <top style="medium">
          <color indexed="64"/>
        </top>
        <bottom style="medium">
          <color indexed="64"/>
        </bottom>
      </border>
    </dxf>
    <dxf>
      <border diagonalUp="0" diagonalDown="0" outline="0">
        <left style="medium">
          <color indexed="64"/>
        </left>
        <right style="medium">
          <color indexed="64"/>
        </right>
        <top style="medium">
          <color indexed="64"/>
        </top>
        <bottom style="medium">
          <color indexed="64"/>
        </bottom>
      </border>
    </dxf>
    <dxf>
      <fill>
        <patternFill patternType="none">
          <fgColor indexed="64"/>
          <bgColor indexed="65"/>
        </patternFill>
      </fill>
      <alignment horizontal="general" vertical="bottom" textRotation="0" wrapText="0" indent="0" justifyLastLine="0" shrinkToFit="0" readingOrder="0"/>
      <border diagonalUp="0" diagonalDown="0">
        <left style="medium">
          <color indexed="64"/>
        </left>
        <right style="medium">
          <color indexed="64"/>
        </right>
        <top style="medium">
          <color indexed="64"/>
        </top>
        <bottom style="medium">
          <color indexed="64"/>
        </bottom>
        <vertical/>
        <horizontal/>
      </border>
    </dxf>
    <dxf>
      <alignment horizontal="general" vertical="bottom" textRotation="0" wrapText="0" indent="0" justifyLastLine="0" shrinkToFit="0" readingOrder="0"/>
      <border diagonalUp="0" diagonalDown="0">
        <left style="medium">
          <color indexed="64"/>
        </left>
        <right style="medium">
          <color indexed="64"/>
        </right>
        <top style="medium">
          <color indexed="64"/>
        </top>
        <bottom style="medium">
          <color indexed="64"/>
        </bottom>
        <vertical/>
        <horizontal/>
      </border>
    </dxf>
    <dxf>
      <alignment horizontal="general" vertical="bottom" textRotation="0" wrapText="0" indent="0" justifyLastLine="0" shrinkToFit="0" readingOrder="0"/>
      <border diagonalUp="0" diagonalDown="0">
        <left style="medium">
          <color indexed="64"/>
        </left>
        <right style="medium">
          <color indexed="64"/>
        </right>
        <top style="medium">
          <color indexed="64"/>
        </top>
        <bottom style="medium">
          <color indexed="64"/>
        </bottom>
        <vertical/>
        <horizontal/>
      </border>
    </dxf>
    <dxf>
      <fill>
        <patternFill patternType="none">
          <fgColor indexed="64"/>
          <bgColor indexed="65"/>
        </patternFill>
      </fill>
      <alignment horizontal="general" vertical="bottom" textRotation="0" wrapText="0" indent="0" justifyLastLine="0" shrinkToFit="0" readingOrder="0"/>
      <border diagonalUp="0" diagonalDown="0">
        <left/>
        <right style="medium">
          <color indexed="64"/>
        </right>
        <top style="medium">
          <color indexed="64"/>
        </top>
        <bottom style="medium">
          <color indexed="64"/>
        </bottom>
        <vertical/>
        <horizontal/>
      </border>
    </dxf>
    <dxf>
      <border outline="0">
        <top style="medium">
          <color indexed="64"/>
        </top>
      </border>
    </dxf>
    <dxf>
      <border outline="0">
        <left style="medium">
          <color indexed="64"/>
        </left>
        <right style="medium">
          <color indexed="64"/>
        </right>
        <top style="medium">
          <color indexed="64"/>
        </top>
        <bottom style="medium">
          <color indexed="64"/>
        </bottom>
      </border>
    </dxf>
    <dxf>
      <border outline="0">
        <bottom style="medium">
          <color indexed="64"/>
        </bottom>
      </border>
    </dxf>
    <dxf>
      <numFmt numFmtId="0" formatCode="General"/>
      <fill>
        <patternFill patternType="none">
          <fgColor indexed="64"/>
          <bgColor auto="1"/>
        </patternFill>
      </fill>
      <border diagonalUp="0" diagonalDown="0">
        <left style="medium">
          <color indexed="64"/>
        </left>
        <right/>
        <top style="medium">
          <color indexed="64"/>
        </top>
        <bottom style="medium">
          <color indexed="64"/>
        </bottom>
      </border>
    </dxf>
    <dxf>
      <border diagonalUp="0" diagonalDown="0" outline="0">
        <left style="medium">
          <color indexed="64"/>
        </left>
        <right style="medium">
          <color indexed="64"/>
        </right>
        <top style="medium">
          <color indexed="64"/>
        </top>
        <bottom style="medium">
          <color indexed="64"/>
        </bottom>
      </border>
    </dxf>
    <dxf>
      <fill>
        <patternFill patternType="none">
          <fgColor indexed="64"/>
          <bgColor indexed="65"/>
        </patternFill>
      </fill>
      <border diagonalUp="0" diagonalDown="0">
        <left style="medium">
          <color indexed="64"/>
        </left>
        <right style="medium">
          <color indexed="64"/>
        </right>
        <top style="medium">
          <color indexed="64"/>
        </top>
        <bottom style="medium">
          <color indexed="64"/>
        </bottom>
        <vertical/>
        <horizontal/>
      </border>
    </dxf>
    <dxf>
      <border diagonalUp="0" diagonalDown="0">
        <left style="medium">
          <color indexed="64"/>
        </left>
        <right style="medium">
          <color indexed="64"/>
        </right>
        <top style="medium">
          <color indexed="64"/>
        </top>
        <bottom style="medium">
          <color indexed="64"/>
        </bottom>
        <vertical/>
        <horizontal/>
      </border>
    </dxf>
    <dxf>
      <border diagonalUp="0" diagonalDown="0">
        <left style="medium">
          <color indexed="64"/>
        </left>
        <right style="medium">
          <color indexed="64"/>
        </right>
        <top style="medium">
          <color indexed="64"/>
        </top>
        <bottom style="medium">
          <color indexed="64"/>
        </bottom>
        <vertical/>
        <horizontal/>
      </border>
    </dxf>
    <dxf>
      <fill>
        <patternFill patternType="none">
          <fgColor indexed="64"/>
          <bgColor indexed="65"/>
        </patternFill>
      </fill>
      <border diagonalUp="0" diagonalDown="0">
        <left/>
        <right style="medium">
          <color indexed="64"/>
        </right>
        <top style="medium">
          <color indexed="64"/>
        </top>
        <bottom style="medium">
          <color indexed="64"/>
        </bottom>
        <vertical/>
        <horizontal/>
      </border>
    </dxf>
    <dxf>
      <border outline="0">
        <top style="medium">
          <color indexed="64"/>
        </top>
      </border>
    </dxf>
    <dxf>
      <border outline="0">
        <left style="medium">
          <color indexed="64"/>
        </left>
        <right style="medium">
          <color indexed="64"/>
        </right>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1"/>
        <color theme="1"/>
        <name val="Calibri"/>
        <scheme val="minor"/>
      </font>
      <border diagonalUp="0" diagonalDown="0" outline="0">
        <left style="medium">
          <color indexed="64"/>
        </left>
        <right style="medium">
          <color indexed="64"/>
        </right>
        <top/>
        <bottom/>
      </border>
    </dxf>
    <dxf>
      <font>
        <b/>
        <i val="0"/>
        <strike val="0"/>
        <condense val="0"/>
        <extend val="0"/>
        <outline val="0"/>
        <shadow val="0"/>
        <u val="none"/>
        <vertAlign val="baseline"/>
        <sz val="11"/>
        <color theme="1"/>
        <name val="Calibri"/>
        <scheme val="minor"/>
      </font>
      <alignment horizontal="general" vertical="top" textRotation="0" wrapText="1" indent="0" justifyLastLine="0" shrinkToFit="0" readingOrder="0"/>
      <border diagonalUp="0" diagonalDown="0">
        <left style="medium">
          <color indexed="64"/>
        </left>
        <right/>
        <top style="medium">
          <color indexed="64"/>
        </top>
        <bottom style="medium">
          <color indexed="64"/>
        </bottom>
        <vertical/>
        <horizontal/>
      </border>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style="medium">
          <color indexed="64"/>
        </right>
        <top style="medium">
          <color indexed="64"/>
        </top>
        <bottom style="medium">
          <color indexed="64"/>
        </bottom>
        <vertical/>
        <horizontal/>
      </border>
    </dxf>
    <dxf>
      <border outline="0">
        <top style="medium">
          <color indexed="64"/>
        </top>
      </border>
    </dxf>
    <dxf>
      <border outline="0">
        <left style="medium">
          <color indexed="64"/>
        </left>
        <right style="medium">
          <color indexed="64"/>
        </right>
        <top style="medium">
          <color indexed="64"/>
        </top>
        <bottom style="medium">
          <color indexed="64"/>
        </bottom>
      </border>
    </dxf>
    <dxf>
      <border>
        <bottom style="medium">
          <color indexed="64"/>
        </bottom>
      </border>
    </dxf>
    <dxf>
      <font>
        <b/>
        <i val="0"/>
        <strike val="0"/>
        <condense val="0"/>
        <extend val="0"/>
        <outline val="0"/>
        <shadow val="0"/>
        <u val="none"/>
        <vertAlign val="baseline"/>
        <sz val="12"/>
        <color theme="1"/>
        <name val="Arial"/>
        <scheme val="none"/>
      </font>
      <alignment horizontal="general"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fill>
        <patternFill patternType="lightTrellis">
          <bgColor theme="0"/>
        </patternFill>
      </fill>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U:\Energy\5%20UTILITY%20BILL%20MANAGEMENT\22%20-%20Building%20Data\Missing%20Data\20190905-UPDATE_CustomFieldsPlace_dll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Entry"/>
      <sheetName val="SheetType"/>
      <sheetName val="UdfIDs"/>
      <sheetName val="SelectListValues"/>
      <sheetName val="Formats"/>
    </sheetNames>
    <sheetDataSet>
      <sheetData sheetId="0"/>
      <sheetData sheetId="1"/>
      <sheetData sheetId="2">
        <row r="1">
          <cell r="A1" t="str">
            <v>Yes</v>
          </cell>
        </row>
        <row r="2">
          <cell r="A2" t="str">
            <v>No</v>
          </cell>
        </row>
      </sheetData>
      <sheetData sheetId="3">
        <row r="1">
          <cell r="L1" t="str">
            <v>Property Owned by State</v>
          </cell>
        </row>
        <row r="2">
          <cell r="L2" t="str">
            <v>Property Leased by State</v>
          </cell>
        </row>
        <row r="3">
          <cell r="L3" t="str">
            <v>No Longer Leased by State</v>
          </cell>
        </row>
        <row r="4">
          <cell r="L4" t="str">
            <v>Operated by State</v>
          </cell>
        </row>
      </sheetData>
      <sheetData sheetId="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Table4" displayName="Table4" ref="A6:B124" totalsRowShown="0" headerRowDxfId="90" headerRowBorderDxfId="89" tableBorderDxfId="88" totalsRowBorderDxfId="87">
  <autoFilter ref="A6:B124" xr:uid="{00000000-0009-0000-0100-000004000000}"/>
  <tableColumns count="2">
    <tableColumn id="1" xr3:uid="{00000000-0010-0000-0000-000001000000}" name="Primary Use " dataDxfId="86"/>
    <tableColumn id="2" xr3:uid="{00000000-0010-0000-0000-000002000000}" name="Definition" dataDxfId="8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2:F69" totalsRowShown="0" headerRowDxfId="84" headerRowBorderDxfId="83" tableBorderDxfId="82" totalsRowBorderDxfId="81">
  <autoFilter ref="A2:F69" xr:uid="{00000000-0009-0000-0100-000001000000}"/>
  <sortState xmlns:xlrd2="http://schemas.microsoft.com/office/spreadsheetml/2017/richdata2" ref="A3:F69">
    <sortCondition ref="D2:D69"/>
  </sortState>
  <tableColumns count="6">
    <tableColumn id="1" xr3:uid="{00000000-0010-0000-0100-000001000000}" name="Account Name" dataDxfId="80"/>
    <tableColumn id="2" xr3:uid="{00000000-0010-0000-0100-000002000000}" name="Cost Center Name" dataDxfId="79"/>
    <tableColumn id="3" xr3:uid="{00000000-0010-0000-0100-000003000000}" name="Vendor Name" dataDxfId="78"/>
    <tableColumn id="4" xr3:uid="{00000000-0010-0000-0100-000004000000}" name="Meter Name" dataDxfId="77"/>
    <tableColumn id="5" xr3:uid="{00000000-0010-0000-0100-000005000000}" name="Independent/Campus Meter" dataDxfId="76"/>
    <tableColumn id="6" xr3:uid="{00000000-0010-0000-0100-000006000000}" name="Dropdown List " dataDxfId="75">
      <calculatedColumnFormula>CONCATENATE(Table1[[#This Row],[Meter Name]]," - ",Table1[[#This Row],[Independent/Campus Meter]])</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A2:F7" totalsRowShown="0" headerRowBorderDxfId="74" tableBorderDxfId="73" totalsRowBorderDxfId="72">
  <autoFilter ref="A2:F7" xr:uid="{00000000-0009-0000-0100-000002000000}"/>
  <sortState xmlns:xlrd2="http://schemas.microsoft.com/office/spreadsheetml/2017/richdata2" ref="A3:F43">
    <sortCondition ref="D3:D43"/>
  </sortState>
  <tableColumns count="6">
    <tableColumn id="1" xr3:uid="{00000000-0010-0000-0200-000001000000}" name="Account Name" dataDxfId="71"/>
    <tableColumn id="2" xr3:uid="{00000000-0010-0000-0200-000002000000}" name="Cost Center Name" dataDxfId="70"/>
    <tableColumn id="3" xr3:uid="{00000000-0010-0000-0200-000003000000}" name="Vendor Name" dataDxfId="69"/>
    <tableColumn id="4" xr3:uid="{00000000-0010-0000-0200-000004000000}" name="Meter Name" dataDxfId="68"/>
    <tableColumn id="5" xr3:uid="{00000000-0010-0000-0200-000005000000}" name="Independent/Campus Meter" dataDxfId="67"/>
    <tableColumn id="6" xr3:uid="{00000000-0010-0000-0200-000006000000}" name="Dropdown List " dataDxfId="66">
      <calculatedColumnFormula>CONCATENATE(Table2[[#This Row],[Meter Name]]," - ",Table2[[#This Row],[Independent/Campus Meter]])</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Table7" displayName="Table7" ref="A1:AI106" totalsRowShown="0" headerRowDxfId="40" dataDxfId="39" tableBorderDxfId="38">
  <autoFilter ref="A1:AI106" xr:uid="{00000000-0009-0000-0100-000007000000}"/>
  <tableColumns count="35">
    <tableColumn id="1" xr3:uid="{00000000-0010-0000-0300-000001000000}" name="Error Messages" dataDxfId="37"/>
    <tableColumn id="2" xr3:uid="{00000000-0010-0000-0300-000002000000}" name="PlaceID" dataDxfId="36"/>
    <tableColumn id="3" xr3:uid="{00000000-0010-0000-0300-000003000000}" name="Organization Code" dataDxfId="35"/>
    <tableColumn id="4" xr3:uid="{00000000-0010-0000-0300-000004000000}" name="Organization Code_x000a_Update" dataDxfId="34"/>
    <tableColumn id="5" xr3:uid="{00000000-0010-0000-0300-000005000000}" name="Organization Name" dataDxfId="33"/>
    <tableColumn id="6" xr3:uid="{00000000-0010-0000-0300-000006000000}" name="Organization Name_x000a_Update" dataDxfId="32"/>
    <tableColumn id="7" xr3:uid="{00000000-0010-0000-0300-000007000000}" name="Organization Type_x000a_Code" dataDxfId="31"/>
    <tableColumn id="8" xr3:uid="{00000000-0010-0000-0300-000008000000}" name="Organization Type_x000a_Code Update" dataDxfId="30"/>
    <tableColumn id="9" xr3:uid="{00000000-0010-0000-0300-000009000000}" name="Parent Organization_x000a_Code" dataDxfId="29"/>
    <tableColumn id="10" xr3:uid="{00000000-0010-0000-0300-00000A000000}" name="Parent Organization_x000a_Code Update" dataDxfId="28"/>
    <tableColumn id="11" xr3:uid="{00000000-0010-0000-0300-00000B000000}" name="Building Code" dataDxfId="27"/>
    <tableColumn id="12" xr3:uid="{00000000-0010-0000-0300-00000C000000}" name="Building Code_x000a_Update" dataDxfId="26"/>
    <tableColumn id="13" xr3:uid="{00000000-0010-0000-0300-00000D000000}" name="Building Name" dataDxfId="25"/>
    <tableColumn id="14" xr3:uid="{00000000-0010-0000-0300-00000E000000}" name="Building Name_x000a_Update" dataDxfId="24"/>
    <tableColumn id="15" xr3:uid="{00000000-0010-0000-0300-00000F000000}" name="Owned or Leased" dataDxfId="23"/>
    <tableColumn id="16" xr3:uid="{00000000-0010-0000-0300-000010000000}" name="Owned or Leased Update" dataDxfId="22"/>
    <tableColumn id="17" xr3:uid="{00000000-0010-0000-0300-000011000000}" name="Electric Meter Name" dataDxfId="21"/>
    <tableColumn id="18" xr3:uid="{00000000-0010-0000-0300-000012000000}" name="Natural Gas Meter Name" dataDxfId="20"/>
    <tableColumn id="19" xr3:uid="{00000000-0010-0000-0300-000013000000}" name="Building Address_x000a_Street 1" dataDxfId="19"/>
    <tableColumn id="20" xr3:uid="{00000000-0010-0000-0300-000014000000}" name="Building Address_x000a_Street 1 Update" dataDxfId="18"/>
    <tableColumn id="21" xr3:uid="{00000000-0010-0000-0300-000015000000}" name="Building Address_x000a_Street 2" dataDxfId="17"/>
    <tableColumn id="22" xr3:uid="{00000000-0010-0000-0300-000016000000}" name="Building Address_x000a_Street 2 Update" dataDxfId="16"/>
    <tableColumn id="23" xr3:uid="{00000000-0010-0000-0300-000017000000}" name="Building Address_x000a_Postal Code" dataDxfId="15"/>
    <tableColumn id="24" xr3:uid="{00000000-0010-0000-0300-000018000000}" name="Building Address_x000a_Postal Code Update" dataDxfId="14"/>
    <tableColumn id="25" xr3:uid="{00000000-0010-0000-0300-000019000000}" name="Build Date" dataDxfId="13"/>
    <tableColumn id="26" xr3:uid="{00000000-0010-0000-0300-00001A000000}" name="Build Date _x000a_Update" dataDxfId="12"/>
    <tableColumn id="27" xr3:uid="{00000000-0010-0000-0300-00001B000000}" name="Floor Area" dataDxfId="11"/>
    <tableColumn id="28" xr3:uid="{00000000-0010-0000-0300-00001C000000}" name="Floor Area_x000a_Update" dataDxfId="10"/>
    <tableColumn id="29" xr3:uid="{00000000-0010-0000-0300-00001D000000}" name="Floor Area_x000a_Unit" dataDxfId="9"/>
    <tableColumn id="30" xr3:uid="{00000000-0010-0000-0300-00001E000000}" name="Floor Area_x000a_Unit Update" dataDxfId="8"/>
    <tableColumn id="31" xr3:uid="{00000000-0010-0000-0300-00001F000000}" name="Floor Area_x000a_Effective Date" dataDxfId="7"/>
    <tableColumn id="32" xr3:uid="{00000000-0010-0000-0300-000020000000}" name="Floor Area _x000a_Effective Date Update" dataDxfId="6"/>
    <tableColumn id="33" xr3:uid="{00000000-0010-0000-0300-000021000000}" name="Primary Use_x000a_Code" dataDxfId="5"/>
    <tableColumn id="34" xr3:uid="{00000000-0010-0000-0300-000022000000}" name="Primary Use_x000a_Code Update" dataDxfId="4"/>
    <tableColumn id="35" xr3:uid="{00000000-0010-0000-0300-000023000000}" name="Notes" dataDxfId="3"/>
  </tableColumns>
  <tableStyleInfo name="TableStyleMedium20"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4000000}" name="Table3" displayName="Table3" ref="A1:B119" totalsRowShown="0" tableBorderDxfId="2">
  <autoFilter ref="A1:B119" xr:uid="{00000000-0009-0000-0100-000003000000}"/>
  <tableColumns count="2">
    <tableColumn id="1" xr3:uid="{00000000-0010-0000-0400-000001000000}" name="Primary Use" dataDxfId="1"/>
    <tableColumn id="2" xr3:uid="{00000000-0010-0000-0400-000002000000}" name="Definition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8"/>
  </sheetPr>
  <dimension ref="A1:O39"/>
  <sheetViews>
    <sheetView showGridLines="0" topLeftCell="A7" workbookViewId="0"/>
  </sheetViews>
  <sheetFormatPr defaultRowHeight="14.4" x14ac:dyDescent="0.3"/>
  <cols>
    <col min="14" max="14" width="57" style="15" customWidth="1"/>
  </cols>
  <sheetData>
    <row r="1" spans="1:15" ht="15.6" x14ac:dyDescent="0.3">
      <c r="B1" s="73"/>
      <c r="C1" s="73"/>
      <c r="D1" s="73"/>
      <c r="E1" s="73"/>
      <c r="F1" s="73"/>
      <c r="G1" s="73"/>
      <c r="H1" s="73"/>
      <c r="I1" s="73"/>
      <c r="J1" s="73"/>
      <c r="K1" s="73"/>
      <c r="L1" s="73"/>
      <c r="M1" s="73"/>
      <c r="N1" s="74"/>
      <c r="O1" s="15"/>
    </row>
    <row r="2" spans="1:15" ht="15.6" x14ac:dyDescent="0.3">
      <c r="B2" s="76"/>
      <c r="C2" s="76"/>
      <c r="D2" s="76"/>
      <c r="E2" s="76"/>
      <c r="F2" s="76"/>
      <c r="G2" s="76"/>
      <c r="H2" s="76"/>
      <c r="I2" s="76"/>
      <c r="J2" s="76"/>
      <c r="K2" s="76"/>
      <c r="L2" s="76"/>
      <c r="M2" s="76"/>
      <c r="N2" s="77"/>
      <c r="O2" s="15"/>
    </row>
    <row r="3" spans="1:15" ht="15.6" x14ac:dyDescent="0.3">
      <c r="A3" s="80" t="s">
        <v>501</v>
      </c>
      <c r="B3" s="76"/>
      <c r="C3" s="76"/>
      <c r="D3" s="76"/>
      <c r="E3" s="76"/>
      <c r="F3" s="76"/>
      <c r="G3" s="76"/>
      <c r="H3" s="76"/>
      <c r="I3" s="76"/>
      <c r="J3" s="76"/>
      <c r="K3" s="76"/>
      <c r="L3" s="76"/>
      <c r="M3" s="76"/>
      <c r="N3" s="77"/>
      <c r="O3" s="15"/>
    </row>
    <row r="4" spans="1:15" ht="15.6" x14ac:dyDescent="0.3">
      <c r="A4" s="78"/>
      <c r="B4" s="76"/>
      <c r="C4" s="76"/>
      <c r="D4" s="76"/>
      <c r="E4" s="76"/>
      <c r="F4" s="76"/>
      <c r="G4" s="76"/>
      <c r="H4" s="76"/>
      <c r="I4" s="76"/>
      <c r="J4" s="76"/>
      <c r="K4" s="76"/>
      <c r="L4" s="76"/>
      <c r="M4" s="76"/>
      <c r="N4" s="77"/>
      <c r="O4" s="15"/>
    </row>
    <row r="5" spans="1:15" ht="15.6" x14ac:dyDescent="0.3">
      <c r="A5" s="78" t="s">
        <v>518</v>
      </c>
      <c r="B5" s="76"/>
      <c r="C5" s="76"/>
      <c r="D5" s="76"/>
      <c r="E5" s="76"/>
      <c r="F5" s="76"/>
      <c r="G5" s="76"/>
      <c r="H5" s="76"/>
      <c r="I5" s="76"/>
      <c r="J5" s="76"/>
      <c r="K5" s="76"/>
      <c r="L5" s="76"/>
      <c r="M5" s="76"/>
      <c r="N5" s="77"/>
      <c r="O5" s="15"/>
    </row>
    <row r="6" spans="1:15" ht="15.6" x14ac:dyDescent="0.3">
      <c r="A6" s="79" t="s">
        <v>519</v>
      </c>
      <c r="B6" s="76"/>
      <c r="C6" s="76"/>
      <c r="D6" s="76"/>
      <c r="E6" s="76"/>
      <c r="F6" s="76"/>
      <c r="G6" s="76"/>
      <c r="H6" s="76"/>
      <c r="I6" s="76"/>
      <c r="J6" s="76"/>
      <c r="K6" s="76"/>
      <c r="L6" s="76"/>
      <c r="M6" s="76"/>
      <c r="N6" s="77"/>
      <c r="O6" s="15"/>
    </row>
    <row r="7" spans="1:15" ht="15.6" x14ac:dyDescent="0.3">
      <c r="A7" s="79"/>
      <c r="B7" s="76"/>
      <c r="C7" s="76"/>
      <c r="D7" s="76"/>
      <c r="E7" s="76"/>
      <c r="F7" s="76"/>
      <c r="G7" s="76"/>
      <c r="H7" s="76"/>
      <c r="I7" s="76"/>
      <c r="J7" s="76"/>
      <c r="K7" s="76"/>
      <c r="L7" s="76"/>
      <c r="M7" s="76"/>
      <c r="N7" s="77"/>
      <c r="O7" s="15"/>
    </row>
    <row r="8" spans="1:15" ht="15.6" x14ac:dyDescent="0.3">
      <c r="A8" s="79" t="s">
        <v>520</v>
      </c>
      <c r="B8" s="76"/>
      <c r="C8" s="76"/>
      <c r="D8" s="76"/>
      <c r="E8" s="76"/>
      <c r="F8" s="76"/>
      <c r="G8" s="76"/>
      <c r="H8" s="76"/>
      <c r="I8" s="76"/>
      <c r="J8" s="76"/>
      <c r="K8" s="76"/>
      <c r="L8" s="76"/>
      <c r="M8" s="76"/>
      <c r="N8" s="77"/>
      <c r="O8" s="15"/>
    </row>
    <row r="9" spans="1:15" ht="15.6" x14ac:dyDescent="0.3">
      <c r="A9" s="79" t="s">
        <v>521</v>
      </c>
      <c r="B9" s="76"/>
      <c r="C9" s="76"/>
      <c r="D9" s="76"/>
      <c r="E9" s="76"/>
      <c r="F9" s="76"/>
      <c r="G9" s="76"/>
      <c r="H9" s="76"/>
      <c r="I9" s="76"/>
      <c r="J9" s="76"/>
      <c r="K9" s="76"/>
      <c r="L9" s="76"/>
      <c r="M9" s="76"/>
      <c r="N9" s="77"/>
      <c r="O9" s="15"/>
    </row>
    <row r="10" spans="1:15" ht="15.6" x14ac:dyDescent="0.3">
      <c r="A10" s="79" t="s">
        <v>522</v>
      </c>
      <c r="B10" s="76"/>
      <c r="C10" s="76"/>
      <c r="D10" s="76"/>
      <c r="E10" s="76"/>
      <c r="F10" s="76"/>
      <c r="G10" s="76"/>
      <c r="H10" s="76"/>
      <c r="I10" s="76"/>
      <c r="J10" s="76"/>
      <c r="K10" s="76"/>
      <c r="L10" s="76"/>
      <c r="M10" s="76"/>
      <c r="N10" s="77"/>
      <c r="O10" s="15"/>
    </row>
    <row r="11" spans="1:15" ht="15.6" x14ac:dyDescent="0.3">
      <c r="A11" s="75" t="s">
        <v>523</v>
      </c>
      <c r="B11" s="76"/>
      <c r="C11" s="76"/>
      <c r="D11" s="76"/>
      <c r="E11" s="76"/>
      <c r="F11" s="76"/>
      <c r="G11" s="76"/>
      <c r="H11" s="76"/>
      <c r="I11" s="76"/>
      <c r="J11" s="76"/>
      <c r="K11" s="76"/>
      <c r="L11" s="76"/>
      <c r="M11" s="76"/>
      <c r="N11" s="77"/>
      <c r="O11" s="15"/>
    </row>
    <row r="12" spans="1:15" ht="15.6" x14ac:dyDescent="0.3">
      <c r="A12" s="79" t="s">
        <v>524</v>
      </c>
      <c r="B12" s="76"/>
      <c r="C12" s="76"/>
      <c r="D12" s="76"/>
      <c r="E12" s="76"/>
      <c r="F12" s="76"/>
      <c r="G12" s="76"/>
      <c r="H12" s="76"/>
      <c r="I12" s="76"/>
      <c r="J12" s="76"/>
      <c r="K12" s="76"/>
      <c r="L12" s="76"/>
      <c r="M12" s="76"/>
      <c r="N12" s="77"/>
      <c r="O12" s="15"/>
    </row>
    <row r="13" spans="1:15" ht="15.6" x14ac:dyDescent="0.3">
      <c r="A13" s="79" t="s">
        <v>525</v>
      </c>
      <c r="B13" s="76"/>
      <c r="C13" s="76"/>
      <c r="D13" s="76"/>
      <c r="E13" s="76"/>
      <c r="F13" s="76"/>
      <c r="G13" s="76"/>
      <c r="H13" s="76"/>
      <c r="I13" s="76"/>
      <c r="J13" s="76"/>
      <c r="K13" s="76"/>
      <c r="L13" s="76"/>
      <c r="M13" s="76"/>
      <c r="N13" s="77"/>
      <c r="O13" s="15"/>
    </row>
    <row r="14" spans="1:15" ht="15.6" x14ac:dyDescent="0.3">
      <c r="A14" s="79" t="s">
        <v>526</v>
      </c>
      <c r="B14" s="76"/>
      <c r="C14" s="76"/>
      <c r="D14" s="76"/>
      <c r="E14" s="76"/>
      <c r="F14" s="76"/>
      <c r="G14" s="76"/>
      <c r="H14" s="76"/>
      <c r="I14" s="76"/>
      <c r="J14" s="76"/>
      <c r="K14" s="76"/>
      <c r="L14" s="76"/>
      <c r="M14" s="76"/>
      <c r="N14" s="77"/>
      <c r="O14" s="15"/>
    </row>
    <row r="15" spans="1:15" ht="15.6" x14ac:dyDescent="0.3">
      <c r="A15" s="79" t="s">
        <v>527</v>
      </c>
      <c r="B15" s="76"/>
      <c r="C15" s="76"/>
      <c r="D15" s="76"/>
      <c r="E15" s="76"/>
      <c r="F15" s="76"/>
      <c r="G15" s="76"/>
      <c r="H15" s="76"/>
      <c r="I15" s="76"/>
      <c r="J15" s="76"/>
      <c r="K15" s="76"/>
      <c r="L15" s="76"/>
      <c r="M15" s="76"/>
      <c r="N15" s="77"/>
      <c r="O15" s="15"/>
    </row>
    <row r="16" spans="1:15" ht="15.6" x14ac:dyDescent="0.3">
      <c r="A16" s="130" t="s">
        <v>528</v>
      </c>
      <c r="B16" s="76"/>
      <c r="C16" s="76"/>
      <c r="D16" s="76"/>
      <c r="E16" s="76"/>
      <c r="F16" s="76"/>
      <c r="G16" s="76"/>
      <c r="H16" s="76"/>
      <c r="I16" s="76"/>
      <c r="J16" s="76"/>
      <c r="K16" s="76"/>
      <c r="L16" s="76"/>
      <c r="M16" s="76"/>
      <c r="N16" s="77"/>
      <c r="O16" s="15"/>
    </row>
    <row r="17" spans="1:15" ht="15.6" x14ac:dyDescent="0.3">
      <c r="A17" s="130" t="s">
        <v>529</v>
      </c>
      <c r="B17" s="76"/>
      <c r="C17" s="76"/>
      <c r="D17" s="76"/>
      <c r="E17" s="76"/>
      <c r="F17" s="76"/>
      <c r="G17" s="76"/>
      <c r="H17" s="76"/>
      <c r="I17" s="76"/>
      <c r="J17" s="76"/>
      <c r="K17" s="76"/>
      <c r="L17" s="76"/>
      <c r="M17" s="76"/>
      <c r="N17" s="77"/>
      <c r="O17" s="15"/>
    </row>
    <row r="18" spans="1:15" ht="16.2" thickBot="1" x14ac:dyDescent="0.35">
      <c r="A18" s="82"/>
      <c r="B18" s="82"/>
      <c r="C18" s="82"/>
      <c r="D18" s="82"/>
      <c r="E18" s="82"/>
      <c r="F18" s="82"/>
      <c r="G18" s="82"/>
      <c r="H18" s="82"/>
      <c r="I18" s="82"/>
      <c r="J18" s="82"/>
      <c r="K18" s="82"/>
      <c r="L18" s="82"/>
      <c r="M18" s="82"/>
      <c r="N18" s="83"/>
      <c r="O18" s="15"/>
    </row>
    <row r="19" spans="1:15" ht="15.6" x14ac:dyDescent="0.3">
      <c r="A19" s="78"/>
      <c r="B19" s="76"/>
      <c r="C19" s="76"/>
      <c r="D19" s="76"/>
      <c r="E19" s="76"/>
      <c r="F19" s="76"/>
      <c r="G19" s="76"/>
      <c r="H19" s="76"/>
      <c r="I19" s="76"/>
      <c r="J19" s="76"/>
      <c r="K19" s="76"/>
      <c r="L19" s="76"/>
      <c r="M19" s="76"/>
      <c r="N19" s="77"/>
      <c r="O19" s="15"/>
    </row>
    <row r="20" spans="1:15" ht="15.6" x14ac:dyDescent="0.3">
      <c r="A20" s="131" t="s">
        <v>516</v>
      </c>
      <c r="B20" s="76"/>
      <c r="C20" s="76"/>
      <c r="D20" s="76"/>
      <c r="E20" s="76"/>
      <c r="F20" s="76"/>
      <c r="G20" s="76"/>
      <c r="H20" s="76"/>
      <c r="I20" s="76"/>
      <c r="J20" s="76"/>
      <c r="K20" s="76"/>
      <c r="L20" s="76"/>
      <c r="M20" s="76"/>
      <c r="N20" s="77"/>
      <c r="O20" s="15"/>
    </row>
    <row r="21" spans="1:15" ht="15.6" x14ac:dyDescent="0.3">
      <c r="A21" s="131"/>
      <c r="B21" s="76"/>
      <c r="C21" s="76"/>
      <c r="D21" s="76"/>
      <c r="E21" s="76"/>
      <c r="F21" s="76"/>
      <c r="G21" s="76"/>
      <c r="H21" s="76"/>
      <c r="I21" s="76"/>
      <c r="J21" s="76"/>
      <c r="K21" s="76"/>
      <c r="L21" s="76"/>
      <c r="M21" s="76"/>
      <c r="N21" s="77"/>
      <c r="O21" s="15"/>
    </row>
    <row r="22" spans="1:15" ht="15.6" x14ac:dyDescent="0.3">
      <c r="A22" s="80" t="s">
        <v>530</v>
      </c>
      <c r="B22" s="76"/>
      <c r="C22" s="76"/>
      <c r="D22" s="76"/>
      <c r="E22" s="76"/>
      <c r="F22" s="76"/>
      <c r="G22" s="76"/>
      <c r="H22" s="76"/>
      <c r="I22" s="76"/>
      <c r="J22" s="76"/>
      <c r="K22" s="76"/>
      <c r="L22" s="76"/>
      <c r="M22" s="76"/>
      <c r="N22" s="77"/>
      <c r="O22" s="15"/>
    </row>
    <row r="23" spans="1:15" ht="15.6" x14ac:dyDescent="0.3">
      <c r="A23" s="79" t="s">
        <v>531</v>
      </c>
      <c r="B23" s="76"/>
      <c r="C23" s="76"/>
      <c r="D23" s="76"/>
      <c r="E23" s="76"/>
      <c r="F23" s="76"/>
      <c r="G23" s="76"/>
      <c r="H23" s="76"/>
      <c r="I23" s="76"/>
      <c r="J23" s="76"/>
      <c r="K23" s="76"/>
      <c r="L23" s="76"/>
      <c r="M23" s="76"/>
      <c r="N23" s="77"/>
      <c r="O23" s="15"/>
    </row>
    <row r="24" spans="1:15" ht="15.6" x14ac:dyDescent="0.3">
      <c r="A24" s="79" t="s">
        <v>532</v>
      </c>
      <c r="B24" s="76"/>
      <c r="C24" s="76"/>
      <c r="D24" s="76"/>
      <c r="E24" s="76"/>
      <c r="F24" s="76"/>
      <c r="G24" s="76"/>
      <c r="H24" s="76"/>
      <c r="I24" s="76"/>
      <c r="J24" s="76"/>
      <c r="K24" s="76"/>
      <c r="L24" s="76"/>
      <c r="M24" s="76"/>
      <c r="N24" s="77"/>
      <c r="O24" s="15"/>
    </row>
    <row r="25" spans="1:15" ht="15.6" x14ac:dyDescent="0.3">
      <c r="A25" s="79" t="s">
        <v>533</v>
      </c>
      <c r="B25" s="76"/>
      <c r="C25" s="76"/>
      <c r="D25" s="76"/>
      <c r="E25" s="76"/>
      <c r="F25" s="76"/>
      <c r="G25" s="76"/>
      <c r="H25" s="76"/>
      <c r="I25" s="76"/>
      <c r="J25" s="76"/>
      <c r="K25" s="76"/>
      <c r="L25" s="76"/>
      <c r="M25" s="76"/>
      <c r="N25" s="77"/>
      <c r="O25" s="15"/>
    </row>
    <row r="26" spans="1:15" ht="15.6" x14ac:dyDescent="0.3">
      <c r="A26" s="79" t="s">
        <v>534</v>
      </c>
      <c r="B26" s="76"/>
      <c r="C26" s="76"/>
      <c r="D26" s="76"/>
      <c r="E26" s="76"/>
      <c r="F26" s="76"/>
      <c r="G26" s="76"/>
      <c r="H26" s="76"/>
      <c r="I26" s="76"/>
      <c r="J26" s="76"/>
      <c r="K26" s="76"/>
      <c r="L26" s="76"/>
      <c r="M26" s="76"/>
      <c r="N26" s="77"/>
      <c r="O26" s="15"/>
    </row>
    <row r="27" spans="1:15" ht="15.6" x14ac:dyDescent="0.3">
      <c r="A27" s="79" t="s">
        <v>535</v>
      </c>
      <c r="B27" s="76"/>
      <c r="C27" s="76"/>
      <c r="D27" s="76"/>
      <c r="E27" s="76"/>
      <c r="F27" s="76"/>
      <c r="G27" s="76"/>
      <c r="H27" s="76"/>
      <c r="I27" s="76"/>
      <c r="J27" s="76"/>
      <c r="K27" s="76"/>
      <c r="L27" s="76"/>
      <c r="M27" s="76"/>
      <c r="N27" s="77"/>
      <c r="O27" s="15"/>
    </row>
    <row r="28" spans="1:15" ht="15.6" x14ac:dyDescent="0.3">
      <c r="A28" s="78"/>
      <c r="B28" s="76"/>
      <c r="C28" s="76"/>
      <c r="D28" s="76"/>
      <c r="E28" s="76"/>
      <c r="F28" s="76"/>
      <c r="G28" s="76"/>
      <c r="H28" s="76"/>
      <c r="I28" s="76"/>
      <c r="J28" s="76"/>
      <c r="K28" s="76"/>
      <c r="L28" s="76"/>
      <c r="M28" s="76"/>
      <c r="N28" s="77"/>
      <c r="O28" s="15"/>
    </row>
    <row r="29" spans="1:15" ht="15.6" x14ac:dyDescent="0.3">
      <c r="A29" s="78"/>
      <c r="B29" s="76"/>
      <c r="C29" s="76"/>
      <c r="D29" s="76"/>
      <c r="E29" s="76"/>
      <c r="F29" s="76"/>
      <c r="G29" s="76"/>
      <c r="H29" s="76"/>
      <c r="I29" s="76"/>
      <c r="J29" s="76"/>
      <c r="K29" s="76"/>
      <c r="L29" s="76"/>
      <c r="M29" s="76"/>
      <c r="N29" s="77"/>
    </row>
    <row r="30" spans="1:15" ht="15.6" x14ac:dyDescent="0.3">
      <c r="A30" s="80" t="s">
        <v>536</v>
      </c>
      <c r="B30" s="76"/>
      <c r="C30" s="76"/>
      <c r="D30" s="76"/>
      <c r="E30" s="76"/>
      <c r="F30" s="76"/>
      <c r="G30" s="76"/>
      <c r="H30" s="76"/>
      <c r="I30" s="76"/>
      <c r="J30" s="76"/>
      <c r="K30" s="76"/>
      <c r="L30" s="76"/>
      <c r="M30" s="76"/>
      <c r="N30" s="77"/>
    </row>
    <row r="31" spans="1:15" ht="15.6" x14ac:dyDescent="0.3">
      <c r="A31" s="79" t="s">
        <v>509</v>
      </c>
      <c r="B31" s="76"/>
      <c r="C31" s="76"/>
      <c r="D31" s="76"/>
      <c r="E31" s="76"/>
      <c r="F31" s="76"/>
      <c r="G31" s="76"/>
      <c r="H31" s="76"/>
      <c r="I31" s="76"/>
      <c r="J31" s="76"/>
      <c r="K31" s="76"/>
      <c r="L31" s="76"/>
      <c r="M31" s="76"/>
      <c r="N31" s="77"/>
    </row>
    <row r="32" spans="1:15" ht="15.6" x14ac:dyDescent="0.3">
      <c r="A32" s="79" t="s">
        <v>510</v>
      </c>
      <c r="B32" s="76"/>
      <c r="C32" s="76"/>
      <c r="D32" s="76"/>
      <c r="E32" s="76"/>
      <c r="F32" s="76"/>
      <c r="G32" s="76"/>
      <c r="H32" s="76"/>
      <c r="I32" s="76"/>
      <c r="J32" s="76"/>
      <c r="K32" s="76"/>
      <c r="L32" s="76"/>
      <c r="M32" s="76"/>
      <c r="N32" s="77"/>
    </row>
    <row r="33" spans="1:14" ht="15.6" x14ac:dyDescent="0.3">
      <c r="A33" s="79" t="s">
        <v>511</v>
      </c>
      <c r="B33" s="76"/>
      <c r="C33" s="76"/>
      <c r="D33" s="76"/>
      <c r="E33" s="76"/>
      <c r="F33" s="76"/>
      <c r="G33" s="76"/>
      <c r="H33" s="76"/>
      <c r="I33" s="76"/>
      <c r="J33" s="76"/>
      <c r="K33" s="76"/>
      <c r="L33" s="76"/>
      <c r="M33" s="76"/>
      <c r="N33" s="77"/>
    </row>
    <row r="34" spans="1:14" ht="15.6" x14ac:dyDescent="0.3">
      <c r="A34" s="79" t="s">
        <v>512</v>
      </c>
      <c r="B34" s="76"/>
      <c r="C34" s="76"/>
      <c r="D34" s="76"/>
      <c r="E34" s="76"/>
      <c r="F34" s="76"/>
      <c r="G34" s="76"/>
      <c r="H34" s="76"/>
      <c r="I34" s="76"/>
      <c r="J34" s="76"/>
      <c r="K34" s="76"/>
      <c r="L34" s="76"/>
      <c r="M34" s="76"/>
      <c r="N34" s="77"/>
    </row>
    <row r="35" spans="1:14" ht="15.6" x14ac:dyDescent="0.3">
      <c r="A35" s="79" t="s">
        <v>513</v>
      </c>
      <c r="B35" s="76"/>
      <c r="C35" s="76"/>
      <c r="D35" s="76"/>
      <c r="E35" s="76"/>
      <c r="F35" s="76"/>
      <c r="G35" s="76"/>
      <c r="H35" s="76"/>
      <c r="I35" s="76"/>
      <c r="J35" s="76"/>
      <c r="K35" s="76"/>
      <c r="L35" s="76"/>
      <c r="M35" s="76"/>
      <c r="N35" s="77"/>
    </row>
    <row r="36" spans="1:14" ht="15.6" x14ac:dyDescent="0.3">
      <c r="A36" s="79" t="s">
        <v>514</v>
      </c>
      <c r="B36" s="76"/>
      <c r="C36" s="76"/>
      <c r="D36" s="76"/>
      <c r="E36" s="76"/>
      <c r="F36" s="76"/>
      <c r="G36" s="76"/>
      <c r="H36" s="76"/>
      <c r="I36" s="76"/>
      <c r="J36" s="76"/>
      <c r="K36" s="76"/>
      <c r="L36" s="76"/>
      <c r="M36" s="76"/>
      <c r="N36" s="77"/>
    </row>
    <row r="37" spans="1:14" ht="15.6" x14ac:dyDescent="0.3">
      <c r="A37" s="81" t="s">
        <v>515</v>
      </c>
      <c r="B37" s="76"/>
      <c r="C37" s="76"/>
      <c r="D37" s="76"/>
      <c r="E37" s="76"/>
      <c r="F37" s="76"/>
      <c r="G37" s="76"/>
      <c r="H37" s="76"/>
      <c r="I37" s="76"/>
      <c r="J37" s="76"/>
      <c r="K37" s="76"/>
      <c r="L37" s="76"/>
      <c r="M37" s="76"/>
      <c r="N37" s="77"/>
    </row>
    <row r="38" spans="1:14" ht="15.6" x14ac:dyDescent="0.3">
      <c r="A38" s="132" t="s">
        <v>537</v>
      </c>
      <c r="B38" s="15"/>
      <c r="C38" s="15"/>
      <c r="D38" s="15"/>
      <c r="E38" s="15"/>
      <c r="F38" s="15"/>
      <c r="G38" s="15"/>
      <c r="H38" s="15"/>
      <c r="I38" s="15"/>
      <c r="J38" s="15"/>
      <c r="K38" s="15"/>
      <c r="L38" s="15"/>
      <c r="M38" s="15"/>
      <c r="N38" s="129"/>
    </row>
    <row r="39" spans="1:14" ht="16.2" thickBot="1" x14ac:dyDescent="0.35">
      <c r="A39" s="133" t="s">
        <v>538</v>
      </c>
      <c r="B39" s="134"/>
      <c r="C39" s="134"/>
      <c r="D39" s="134"/>
      <c r="E39" s="134"/>
      <c r="F39" s="134"/>
      <c r="G39" s="134"/>
      <c r="H39" s="134"/>
      <c r="I39" s="134"/>
      <c r="J39" s="134"/>
      <c r="K39" s="134"/>
      <c r="L39" s="134"/>
      <c r="M39" s="134"/>
      <c r="N39" s="135"/>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8"/>
  </sheetPr>
  <dimension ref="A1:E124"/>
  <sheetViews>
    <sheetView showGridLines="0" topLeftCell="A28" workbookViewId="0">
      <selection activeCell="D7" sqref="D7"/>
    </sheetView>
  </sheetViews>
  <sheetFormatPr defaultRowHeight="14.4" x14ac:dyDescent="0.3"/>
  <cols>
    <col min="1" max="1" width="76.109375" customWidth="1"/>
    <col min="2" max="2" width="64.6640625" customWidth="1"/>
    <col min="5" max="5" width="25.5546875" customWidth="1"/>
  </cols>
  <sheetData>
    <row r="1" spans="1:5" ht="232.5" customHeight="1" thickBot="1" x14ac:dyDescent="0.35">
      <c r="A1" s="35" t="s">
        <v>462</v>
      </c>
    </row>
    <row r="2" spans="1:5" ht="16.2" thickBot="1" x14ac:dyDescent="0.35">
      <c r="A2" s="36" t="s">
        <v>463</v>
      </c>
      <c r="B2" s="37" t="s">
        <v>464</v>
      </c>
    </row>
    <row r="3" spans="1:5" ht="18.75" customHeight="1" thickBot="1" x14ac:dyDescent="0.35">
      <c r="A3" s="36" t="s">
        <v>465</v>
      </c>
      <c r="B3" s="38" t="s">
        <v>466</v>
      </c>
      <c r="E3" s="11"/>
    </row>
    <row r="4" spans="1:5" ht="33.75" customHeight="1" x14ac:dyDescent="0.3">
      <c r="A4" s="50"/>
      <c r="B4" s="51"/>
    </row>
    <row r="5" spans="1:5" ht="25.5" customHeight="1" thickBot="1" x14ac:dyDescent="0.35">
      <c r="A5" s="32"/>
      <c r="B5" s="19"/>
      <c r="C5" s="15"/>
      <c r="D5" s="15"/>
    </row>
    <row r="6" spans="1:5" ht="28.5" customHeight="1" thickBot="1" x14ac:dyDescent="0.35">
      <c r="A6" s="72" t="s">
        <v>507</v>
      </c>
      <c r="B6" s="72" t="s">
        <v>508</v>
      </c>
      <c r="C6" s="15"/>
      <c r="D6" s="15"/>
    </row>
    <row r="7" spans="1:5" ht="52.5" customHeight="1" thickBot="1" x14ac:dyDescent="0.35">
      <c r="A7" s="68" t="s">
        <v>236</v>
      </c>
      <c r="B7" s="69" t="s">
        <v>344</v>
      </c>
      <c r="C7" s="15"/>
      <c r="D7" s="15"/>
    </row>
    <row r="8" spans="1:5" ht="28.5" customHeight="1" thickBot="1" x14ac:dyDescent="0.35">
      <c r="A8" s="68" t="s">
        <v>237</v>
      </c>
      <c r="B8" s="69" t="s">
        <v>345</v>
      </c>
      <c r="C8" s="15"/>
      <c r="D8" s="15"/>
    </row>
    <row r="9" spans="1:5" ht="32.25" customHeight="1" thickBot="1" x14ac:dyDescent="0.35">
      <c r="A9" s="68" t="s">
        <v>238</v>
      </c>
      <c r="B9" s="69" t="s">
        <v>346</v>
      </c>
      <c r="C9" s="15"/>
      <c r="D9" s="15"/>
    </row>
    <row r="10" spans="1:5" ht="30.75" customHeight="1" thickBot="1" x14ac:dyDescent="0.35">
      <c r="A10" s="68" t="s">
        <v>239</v>
      </c>
      <c r="B10" s="69" t="s">
        <v>347</v>
      </c>
      <c r="C10" s="15"/>
      <c r="D10" s="15"/>
    </row>
    <row r="11" spans="1:5" ht="30" customHeight="1" thickBot="1" x14ac:dyDescent="0.35">
      <c r="A11" s="68" t="s">
        <v>240</v>
      </c>
      <c r="B11" s="69" t="s">
        <v>348</v>
      </c>
      <c r="C11" s="15"/>
      <c r="D11" s="15"/>
    </row>
    <row r="12" spans="1:5" ht="43.8" thickBot="1" x14ac:dyDescent="0.35">
      <c r="A12" s="68" t="s">
        <v>241</v>
      </c>
      <c r="B12" s="69" t="s">
        <v>349</v>
      </c>
    </row>
    <row r="13" spans="1:5" ht="29.4" thickBot="1" x14ac:dyDescent="0.35">
      <c r="A13" s="68" t="s">
        <v>242</v>
      </c>
      <c r="B13" s="69" t="s">
        <v>350</v>
      </c>
    </row>
    <row r="14" spans="1:5" ht="29.4" thickBot="1" x14ac:dyDescent="0.35">
      <c r="A14" s="68" t="s">
        <v>243</v>
      </c>
      <c r="B14" s="69" t="s">
        <v>351</v>
      </c>
    </row>
    <row r="15" spans="1:5" ht="72.599999999999994" thickBot="1" x14ac:dyDescent="0.35">
      <c r="A15" s="68" t="s">
        <v>244</v>
      </c>
      <c r="B15" s="69" t="s">
        <v>352</v>
      </c>
    </row>
    <row r="16" spans="1:5" ht="29.4" thickBot="1" x14ac:dyDescent="0.35">
      <c r="A16" s="68" t="s">
        <v>245</v>
      </c>
      <c r="B16" s="69" t="s">
        <v>353</v>
      </c>
    </row>
    <row r="17" spans="1:2" ht="43.8" thickBot="1" x14ac:dyDescent="0.35">
      <c r="A17" s="68" t="s">
        <v>246</v>
      </c>
      <c r="B17" s="69" t="s">
        <v>354</v>
      </c>
    </row>
    <row r="18" spans="1:2" ht="29.4" thickBot="1" x14ac:dyDescent="0.35">
      <c r="A18" s="68" t="s">
        <v>247</v>
      </c>
      <c r="B18" s="69" t="s">
        <v>355</v>
      </c>
    </row>
    <row r="19" spans="1:2" ht="29.4" thickBot="1" x14ac:dyDescent="0.35">
      <c r="A19" s="68" t="s">
        <v>248</v>
      </c>
      <c r="B19" s="69" t="s">
        <v>356</v>
      </c>
    </row>
    <row r="20" spans="1:2" ht="29.4" thickBot="1" x14ac:dyDescent="0.35">
      <c r="A20" s="68" t="s">
        <v>249</v>
      </c>
      <c r="B20" s="69" t="s">
        <v>357</v>
      </c>
    </row>
    <row r="21" spans="1:2" ht="29.4" thickBot="1" x14ac:dyDescent="0.35">
      <c r="A21" s="68" t="s">
        <v>250</v>
      </c>
      <c r="B21" s="69" t="s">
        <v>358</v>
      </c>
    </row>
    <row r="22" spans="1:2" ht="29.4" thickBot="1" x14ac:dyDescent="0.35">
      <c r="A22" s="68" t="s">
        <v>251</v>
      </c>
      <c r="B22" s="69" t="s">
        <v>359</v>
      </c>
    </row>
    <row r="23" spans="1:2" ht="15" thickBot="1" x14ac:dyDescent="0.35">
      <c r="A23" s="68" t="s">
        <v>252</v>
      </c>
      <c r="B23" s="69" t="s">
        <v>360</v>
      </c>
    </row>
    <row r="24" spans="1:2" ht="72.599999999999994" thickBot="1" x14ac:dyDescent="0.35">
      <c r="A24" s="68" t="s">
        <v>253</v>
      </c>
      <c r="B24" s="69" t="s">
        <v>361</v>
      </c>
    </row>
    <row r="25" spans="1:2" ht="58.2" thickBot="1" x14ac:dyDescent="0.35">
      <c r="A25" s="68" t="s">
        <v>254</v>
      </c>
      <c r="B25" s="69" t="s">
        <v>362</v>
      </c>
    </row>
    <row r="26" spans="1:2" ht="87" thickBot="1" x14ac:dyDescent="0.35">
      <c r="A26" s="68" t="s">
        <v>255</v>
      </c>
      <c r="B26" s="69" t="s">
        <v>363</v>
      </c>
    </row>
    <row r="27" spans="1:2" ht="43.8" thickBot="1" x14ac:dyDescent="0.35">
      <c r="A27" s="68" t="s">
        <v>256</v>
      </c>
      <c r="B27" s="69" t="s">
        <v>364</v>
      </c>
    </row>
    <row r="28" spans="1:2" ht="173.4" thickBot="1" x14ac:dyDescent="0.35">
      <c r="A28" s="68" t="s">
        <v>257</v>
      </c>
      <c r="B28" s="69" t="s">
        <v>365</v>
      </c>
    </row>
    <row r="29" spans="1:2" ht="43.8" thickBot="1" x14ac:dyDescent="0.35">
      <c r="A29" s="68" t="s">
        <v>258</v>
      </c>
      <c r="B29" s="69" t="s">
        <v>366</v>
      </c>
    </row>
    <row r="30" spans="1:2" ht="43.8" thickBot="1" x14ac:dyDescent="0.35">
      <c r="A30" s="68" t="s">
        <v>259</v>
      </c>
      <c r="B30" s="69" t="s">
        <v>367</v>
      </c>
    </row>
    <row r="31" spans="1:2" ht="43.8" thickBot="1" x14ac:dyDescent="0.35">
      <c r="A31" s="68" t="s">
        <v>228</v>
      </c>
      <c r="B31" s="69" t="s">
        <v>368</v>
      </c>
    </row>
    <row r="32" spans="1:2" ht="87" thickBot="1" x14ac:dyDescent="0.35">
      <c r="A32" s="68" t="s">
        <v>260</v>
      </c>
      <c r="B32" s="69" t="s">
        <v>369</v>
      </c>
    </row>
    <row r="33" spans="1:2" ht="58.2" thickBot="1" x14ac:dyDescent="0.35">
      <c r="A33" s="68" t="s">
        <v>261</v>
      </c>
      <c r="B33" s="69" t="s">
        <v>370</v>
      </c>
    </row>
    <row r="34" spans="1:2" ht="87" thickBot="1" x14ac:dyDescent="0.35">
      <c r="A34" s="68" t="s">
        <v>262</v>
      </c>
      <c r="B34" s="69" t="s">
        <v>371</v>
      </c>
    </row>
    <row r="35" spans="1:2" ht="72.599999999999994" thickBot="1" x14ac:dyDescent="0.35">
      <c r="A35" s="68" t="s">
        <v>263</v>
      </c>
      <c r="B35" s="69" t="s">
        <v>372</v>
      </c>
    </row>
    <row r="36" spans="1:2" ht="29.4" thickBot="1" x14ac:dyDescent="0.35">
      <c r="A36" s="68" t="s">
        <v>264</v>
      </c>
      <c r="B36" s="69" t="s">
        <v>373</v>
      </c>
    </row>
    <row r="37" spans="1:2" ht="43.8" thickBot="1" x14ac:dyDescent="0.35">
      <c r="A37" s="68" t="s">
        <v>224</v>
      </c>
      <c r="B37" s="69" t="s">
        <v>374</v>
      </c>
    </row>
    <row r="38" spans="1:2" ht="43.8" thickBot="1" x14ac:dyDescent="0.35">
      <c r="A38" s="68" t="s">
        <v>265</v>
      </c>
      <c r="B38" s="69" t="s">
        <v>375</v>
      </c>
    </row>
    <row r="39" spans="1:2" ht="29.4" thickBot="1" x14ac:dyDescent="0.35">
      <c r="A39" s="68" t="s">
        <v>266</v>
      </c>
      <c r="B39" s="69" t="s">
        <v>376</v>
      </c>
    </row>
    <row r="40" spans="1:2" ht="72.599999999999994" thickBot="1" x14ac:dyDescent="0.35">
      <c r="A40" s="68" t="s">
        <v>267</v>
      </c>
      <c r="B40" s="69" t="s">
        <v>377</v>
      </c>
    </row>
    <row r="41" spans="1:2" ht="43.8" thickBot="1" x14ac:dyDescent="0.35">
      <c r="A41" s="68" t="s">
        <v>268</v>
      </c>
      <c r="B41" s="69" t="s">
        <v>378</v>
      </c>
    </row>
    <row r="42" spans="1:2" ht="15" thickBot="1" x14ac:dyDescent="0.35">
      <c r="A42" s="68" t="s">
        <v>269</v>
      </c>
      <c r="B42" s="69" t="s">
        <v>379</v>
      </c>
    </row>
    <row r="43" spans="1:2" ht="43.8" thickBot="1" x14ac:dyDescent="0.35">
      <c r="A43" s="68" t="s">
        <v>270</v>
      </c>
      <c r="B43" s="69" t="s">
        <v>380</v>
      </c>
    </row>
    <row r="44" spans="1:2" ht="29.4" thickBot="1" x14ac:dyDescent="0.35">
      <c r="A44" s="68" t="s">
        <v>229</v>
      </c>
      <c r="B44" s="69" t="s">
        <v>381</v>
      </c>
    </row>
    <row r="45" spans="1:2" ht="15" thickBot="1" x14ac:dyDescent="0.35">
      <c r="A45" s="68" t="s">
        <v>251</v>
      </c>
      <c r="B45" s="69" t="s">
        <v>382</v>
      </c>
    </row>
    <row r="46" spans="1:2" ht="144.6" thickBot="1" x14ac:dyDescent="0.35">
      <c r="A46" s="68" t="s">
        <v>271</v>
      </c>
      <c r="B46" s="69" t="s">
        <v>383</v>
      </c>
    </row>
    <row r="47" spans="1:2" ht="159" thickBot="1" x14ac:dyDescent="0.35">
      <c r="A47" s="68" t="s">
        <v>272</v>
      </c>
      <c r="B47" s="69" t="s">
        <v>384</v>
      </c>
    </row>
    <row r="48" spans="1:2" ht="29.4" thickBot="1" x14ac:dyDescent="0.35">
      <c r="A48" s="68" t="s">
        <v>273</v>
      </c>
      <c r="B48" s="69" t="s">
        <v>385</v>
      </c>
    </row>
    <row r="49" spans="1:2" ht="72.599999999999994" thickBot="1" x14ac:dyDescent="0.35">
      <c r="A49" s="68" t="s">
        <v>274</v>
      </c>
      <c r="B49" s="69" t="s">
        <v>386</v>
      </c>
    </row>
    <row r="50" spans="1:2" ht="72.599999999999994" thickBot="1" x14ac:dyDescent="0.35">
      <c r="A50" s="68" t="s">
        <v>275</v>
      </c>
      <c r="B50" s="69" t="s">
        <v>387</v>
      </c>
    </row>
    <row r="51" spans="1:2" ht="29.4" thickBot="1" x14ac:dyDescent="0.35">
      <c r="A51" s="68" t="s">
        <v>276</v>
      </c>
      <c r="B51" s="69" t="s">
        <v>388</v>
      </c>
    </row>
    <row r="52" spans="1:2" ht="15" thickBot="1" x14ac:dyDescent="0.35">
      <c r="A52" s="68" t="s">
        <v>277</v>
      </c>
      <c r="B52" s="69" t="s">
        <v>389</v>
      </c>
    </row>
    <row r="53" spans="1:2" ht="58.2" thickBot="1" x14ac:dyDescent="0.35">
      <c r="A53" s="68" t="s">
        <v>278</v>
      </c>
      <c r="B53" s="69" t="s">
        <v>390</v>
      </c>
    </row>
    <row r="54" spans="1:2" ht="58.2" thickBot="1" x14ac:dyDescent="0.35">
      <c r="A54" s="68" t="s">
        <v>279</v>
      </c>
      <c r="B54" s="69" t="s">
        <v>391</v>
      </c>
    </row>
    <row r="55" spans="1:2" ht="58.2" thickBot="1" x14ac:dyDescent="0.35">
      <c r="A55" s="68" t="s">
        <v>280</v>
      </c>
      <c r="B55" s="69" t="s">
        <v>392</v>
      </c>
    </row>
    <row r="56" spans="1:2" ht="87" thickBot="1" x14ac:dyDescent="0.35">
      <c r="A56" s="68" t="s">
        <v>281</v>
      </c>
      <c r="B56" s="69" t="s">
        <v>393</v>
      </c>
    </row>
    <row r="57" spans="1:2" ht="58.2" thickBot="1" x14ac:dyDescent="0.35">
      <c r="A57" s="68" t="s">
        <v>282</v>
      </c>
      <c r="B57" s="69" t="s">
        <v>394</v>
      </c>
    </row>
    <row r="58" spans="1:2" ht="58.2" thickBot="1" x14ac:dyDescent="0.35">
      <c r="A58" s="68" t="s">
        <v>283</v>
      </c>
      <c r="B58" s="69" t="s">
        <v>395</v>
      </c>
    </row>
    <row r="59" spans="1:2" ht="15" thickBot="1" x14ac:dyDescent="0.35">
      <c r="A59" s="68" t="s">
        <v>284</v>
      </c>
      <c r="B59" s="69" t="s">
        <v>396</v>
      </c>
    </row>
    <row r="60" spans="1:2" ht="29.4" thickBot="1" x14ac:dyDescent="0.35">
      <c r="A60" s="68" t="s">
        <v>285</v>
      </c>
      <c r="B60" s="69" t="s">
        <v>397</v>
      </c>
    </row>
    <row r="61" spans="1:2" ht="43.8" thickBot="1" x14ac:dyDescent="0.35">
      <c r="A61" s="68" t="s">
        <v>286</v>
      </c>
      <c r="B61" s="69" t="s">
        <v>398</v>
      </c>
    </row>
    <row r="62" spans="1:2" ht="15" thickBot="1" x14ac:dyDescent="0.35">
      <c r="A62" s="68" t="s">
        <v>287</v>
      </c>
      <c r="B62" s="69" t="s">
        <v>399</v>
      </c>
    </row>
    <row r="63" spans="1:2" ht="72.599999999999994" thickBot="1" x14ac:dyDescent="0.35">
      <c r="A63" s="68" t="s">
        <v>288</v>
      </c>
      <c r="B63" s="69" t="s">
        <v>400</v>
      </c>
    </row>
    <row r="64" spans="1:2" ht="43.8" thickBot="1" x14ac:dyDescent="0.35">
      <c r="A64" s="68" t="s">
        <v>289</v>
      </c>
      <c r="B64" s="69" t="s">
        <v>401</v>
      </c>
    </row>
    <row r="65" spans="1:2" ht="29.4" thickBot="1" x14ac:dyDescent="0.35">
      <c r="A65" s="68" t="s">
        <v>290</v>
      </c>
      <c r="B65" s="69" t="s">
        <v>402</v>
      </c>
    </row>
    <row r="66" spans="1:2" ht="43.8" thickBot="1" x14ac:dyDescent="0.35">
      <c r="A66" s="68" t="s">
        <v>269</v>
      </c>
      <c r="B66" s="69" t="s">
        <v>403</v>
      </c>
    </row>
    <row r="67" spans="1:2" ht="72.599999999999994" thickBot="1" x14ac:dyDescent="0.35">
      <c r="A67" s="68" t="s">
        <v>2</v>
      </c>
      <c r="B67" s="69" t="s">
        <v>404</v>
      </c>
    </row>
    <row r="68" spans="1:2" ht="72.599999999999994" thickBot="1" x14ac:dyDescent="0.35">
      <c r="A68" s="68" t="s">
        <v>291</v>
      </c>
      <c r="B68" s="69" t="s">
        <v>405</v>
      </c>
    </row>
    <row r="69" spans="1:2" ht="58.2" thickBot="1" x14ac:dyDescent="0.35">
      <c r="A69" s="68" t="s">
        <v>292</v>
      </c>
      <c r="B69" s="69" t="s">
        <v>406</v>
      </c>
    </row>
    <row r="70" spans="1:2" ht="72.599999999999994" thickBot="1" x14ac:dyDescent="0.35">
      <c r="A70" s="68" t="s">
        <v>293</v>
      </c>
      <c r="B70" s="69" t="s">
        <v>407</v>
      </c>
    </row>
    <row r="71" spans="1:2" ht="43.8" thickBot="1" x14ac:dyDescent="0.35">
      <c r="A71" s="68" t="s">
        <v>294</v>
      </c>
      <c r="B71" s="69" t="s">
        <v>408</v>
      </c>
    </row>
    <row r="72" spans="1:2" ht="115.8" thickBot="1" x14ac:dyDescent="0.35">
      <c r="A72" s="68" t="s">
        <v>295</v>
      </c>
      <c r="B72" s="69" t="s">
        <v>409</v>
      </c>
    </row>
    <row r="73" spans="1:2" ht="43.8" thickBot="1" x14ac:dyDescent="0.35">
      <c r="A73" s="68" t="s">
        <v>296</v>
      </c>
      <c r="B73" s="69" t="s">
        <v>410</v>
      </c>
    </row>
    <row r="74" spans="1:2" ht="43.8" thickBot="1" x14ac:dyDescent="0.35">
      <c r="A74" s="68" t="s">
        <v>297</v>
      </c>
      <c r="B74" s="69" t="s">
        <v>411</v>
      </c>
    </row>
    <row r="75" spans="1:2" ht="43.8" thickBot="1" x14ac:dyDescent="0.35">
      <c r="A75" s="68" t="s">
        <v>298</v>
      </c>
      <c r="B75" s="69" t="s">
        <v>412</v>
      </c>
    </row>
    <row r="76" spans="1:2" ht="43.8" thickBot="1" x14ac:dyDescent="0.35">
      <c r="A76" s="68" t="s">
        <v>299</v>
      </c>
      <c r="B76" s="69" t="s">
        <v>413</v>
      </c>
    </row>
    <row r="77" spans="1:2" ht="29.4" thickBot="1" x14ac:dyDescent="0.35">
      <c r="A77" s="68" t="s">
        <v>300</v>
      </c>
      <c r="B77" s="69" t="s">
        <v>414</v>
      </c>
    </row>
    <row r="78" spans="1:2" ht="72.599999999999994" thickBot="1" x14ac:dyDescent="0.35">
      <c r="A78" s="68" t="s">
        <v>301</v>
      </c>
      <c r="B78" s="69" t="s">
        <v>415</v>
      </c>
    </row>
    <row r="79" spans="1:2" ht="43.8" thickBot="1" x14ac:dyDescent="0.35">
      <c r="A79" s="68" t="s">
        <v>302</v>
      </c>
      <c r="B79" s="69" t="s">
        <v>416</v>
      </c>
    </row>
    <row r="80" spans="1:2" ht="43.8" thickBot="1" x14ac:dyDescent="0.35">
      <c r="A80" s="68" t="s">
        <v>303</v>
      </c>
      <c r="B80" s="69" t="s">
        <v>417</v>
      </c>
    </row>
    <row r="81" spans="1:2" ht="43.8" thickBot="1" x14ac:dyDescent="0.35">
      <c r="A81" s="68" t="s">
        <v>304</v>
      </c>
      <c r="B81" s="69" t="s">
        <v>418</v>
      </c>
    </row>
    <row r="82" spans="1:2" ht="87" thickBot="1" x14ac:dyDescent="0.35">
      <c r="A82" s="68" t="s">
        <v>305</v>
      </c>
      <c r="B82" s="69" t="s">
        <v>419</v>
      </c>
    </row>
    <row r="83" spans="1:2" ht="29.4" thickBot="1" x14ac:dyDescent="0.35">
      <c r="A83" s="68" t="s">
        <v>306</v>
      </c>
      <c r="B83" s="69" t="s">
        <v>420</v>
      </c>
    </row>
    <row r="84" spans="1:2" ht="29.4" thickBot="1" x14ac:dyDescent="0.35">
      <c r="A84" s="68" t="s">
        <v>307</v>
      </c>
      <c r="B84" s="69" t="s">
        <v>421</v>
      </c>
    </row>
    <row r="85" spans="1:2" ht="29.4" thickBot="1" x14ac:dyDescent="0.35">
      <c r="A85" s="68" t="s">
        <v>223</v>
      </c>
      <c r="B85" s="69" t="s">
        <v>422</v>
      </c>
    </row>
    <row r="86" spans="1:2" ht="43.8" thickBot="1" x14ac:dyDescent="0.35">
      <c r="A86" s="68" t="s">
        <v>308</v>
      </c>
      <c r="B86" s="69" t="s">
        <v>423</v>
      </c>
    </row>
    <row r="87" spans="1:2" ht="43.8" thickBot="1" x14ac:dyDescent="0.35">
      <c r="A87" s="68" t="s">
        <v>309</v>
      </c>
      <c r="B87" s="69" t="s">
        <v>424</v>
      </c>
    </row>
    <row r="88" spans="1:2" ht="15" thickBot="1" x14ac:dyDescent="0.35">
      <c r="A88" s="68" t="s">
        <v>310</v>
      </c>
      <c r="B88" s="69" t="s">
        <v>425</v>
      </c>
    </row>
    <row r="89" spans="1:2" ht="29.4" thickBot="1" x14ac:dyDescent="0.35">
      <c r="A89" s="68" t="s">
        <v>311</v>
      </c>
      <c r="B89" s="69" t="s">
        <v>426</v>
      </c>
    </row>
    <row r="90" spans="1:2" ht="29.4" thickBot="1" x14ac:dyDescent="0.35">
      <c r="A90" s="68" t="s">
        <v>312</v>
      </c>
      <c r="B90" s="69" t="s">
        <v>427</v>
      </c>
    </row>
    <row r="91" spans="1:2" ht="29.4" thickBot="1" x14ac:dyDescent="0.35">
      <c r="A91" s="68" t="s">
        <v>313</v>
      </c>
      <c r="B91" s="69" t="s">
        <v>428</v>
      </c>
    </row>
    <row r="92" spans="1:2" ht="43.8" thickBot="1" x14ac:dyDescent="0.35">
      <c r="A92" s="68" t="s">
        <v>314</v>
      </c>
      <c r="B92" s="69" t="s">
        <v>429</v>
      </c>
    </row>
    <row r="93" spans="1:2" ht="43.8" thickBot="1" x14ac:dyDescent="0.35">
      <c r="A93" s="68" t="s">
        <v>315</v>
      </c>
      <c r="B93" s="69" t="s">
        <v>430</v>
      </c>
    </row>
    <row r="94" spans="1:2" ht="115.8" thickBot="1" x14ac:dyDescent="0.35">
      <c r="A94" s="68" t="s">
        <v>316</v>
      </c>
      <c r="B94" s="69" t="s">
        <v>431</v>
      </c>
    </row>
    <row r="95" spans="1:2" ht="43.8" thickBot="1" x14ac:dyDescent="0.35">
      <c r="A95" s="68" t="s">
        <v>317</v>
      </c>
      <c r="B95" s="69" t="s">
        <v>432</v>
      </c>
    </row>
    <row r="96" spans="1:2" ht="15" thickBot="1" x14ac:dyDescent="0.35">
      <c r="A96" s="68" t="s">
        <v>318</v>
      </c>
      <c r="B96" s="69" t="s">
        <v>433</v>
      </c>
    </row>
    <row r="97" spans="1:2" ht="58.2" thickBot="1" x14ac:dyDescent="0.35">
      <c r="A97" s="68" t="s">
        <v>319</v>
      </c>
      <c r="B97" s="69" t="s">
        <v>434</v>
      </c>
    </row>
    <row r="98" spans="1:2" ht="15" thickBot="1" x14ac:dyDescent="0.35">
      <c r="A98" s="68" t="s">
        <v>320</v>
      </c>
      <c r="B98" s="69" t="s">
        <v>435</v>
      </c>
    </row>
    <row r="99" spans="1:2" ht="29.4" thickBot="1" x14ac:dyDescent="0.35">
      <c r="A99" s="68" t="s">
        <v>321</v>
      </c>
      <c r="B99" s="69" t="s">
        <v>436</v>
      </c>
    </row>
    <row r="100" spans="1:2" ht="15" thickBot="1" x14ac:dyDescent="0.35">
      <c r="A100" s="68" t="s">
        <v>322</v>
      </c>
      <c r="B100" s="69" t="s">
        <v>437</v>
      </c>
    </row>
    <row r="101" spans="1:2" ht="43.8" thickBot="1" x14ac:dyDescent="0.35">
      <c r="A101" s="68" t="s">
        <v>323</v>
      </c>
      <c r="B101" s="69" t="s">
        <v>438</v>
      </c>
    </row>
    <row r="102" spans="1:2" ht="29.4" thickBot="1" x14ac:dyDescent="0.35">
      <c r="A102" s="68" t="s">
        <v>324</v>
      </c>
      <c r="B102" s="69" t="s">
        <v>439</v>
      </c>
    </row>
    <row r="103" spans="1:2" ht="15" thickBot="1" x14ac:dyDescent="0.35">
      <c r="A103" s="68" t="s">
        <v>325</v>
      </c>
      <c r="B103" s="69" t="s">
        <v>440</v>
      </c>
    </row>
    <row r="104" spans="1:2" ht="29.4" thickBot="1" x14ac:dyDescent="0.35">
      <c r="A104" s="68" t="s">
        <v>227</v>
      </c>
      <c r="B104" s="69" t="s">
        <v>441</v>
      </c>
    </row>
    <row r="105" spans="1:2" ht="29.4" thickBot="1" x14ac:dyDescent="0.35">
      <c r="A105" s="68" t="s">
        <v>326</v>
      </c>
      <c r="B105" s="69" t="s">
        <v>442</v>
      </c>
    </row>
    <row r="106" spans="1:2" ht="29.4" thickBot="1" x14ac:dyDescent="0.35">
      <c r="A106" s="68" t="s">
        <v>327</v>
      </c>
      <c r="B106" s="69" t="s">
        <v>443</v>
      </c>
    </row>
    <row r="107" spans="1:2" ht="72.599999999999994" thickBot="1" x14ac:dyDescent="0.35">
      <c r="A107" s="68" t="s">
        <v>328</v>
      </c>
      <c r="B107" s="69" t="s">
        <v>444</v>
      </c>
    </row>
    <row r="108" spans="1:2" ht="87" thickBot="1" x14ac:dyDescent="0.35">
      <c r="A108" s="68" t="s">
        <v>329</v>
      </c>
      <c r="B108" s="69" t="s">
        <v>445</v>
      </c>
    </row>
    <row r="109" spans="1:2" ht="87" thickBot="1" x14ac:dyDescent="0.35">
      <c r="A109" s="68" t="s">
        <v>330</v>
      </c>
      <c r="B109" s="69" t="s">
        <v>446</v>
      </c>
    </row>
    <row r="110" spans="1:2" ht="29.4" thickBot="1" x14ac:dyDescent="0.35">
      <c r="A110" s="68" t="s">
        <v>226</v>
      </c>
      <c r="B110" s="69" t="s">
        <v>447</v>
      </c>
    </row>
    <row r="111" spans="1:2" ht="58.2" thickBot="1" x14ac:dyDescent="0.35">
      <c r="A111" s="68" t="s">
        <v>331</v>
      </c>
      <c r="B111" s="69" t="s">
        <v>448</v>
      </c>
    </row>
    <row r="112" spans="1:2" ht="72.599999999999994" thickBot="1" x14ac:dyDescent="0.35">
      <c r="A112" s="68" t="s">
        <v>332</v>
      </c>
      <c r="B112" s="69" t="s">
        <v>449</v>
      </c>
    </row>
    <row r="113" spans="1:2" ht="29.4" thickBot="1" x14ac:dyDescent="0.35">
      <c r="A113" s="68" t="s">
        <v>333</v>
      </c>
      <c r="B113" s="69" t="s">
        <v>450</v>
      </c>
    </row>
    <row r="114" spans="1:2" ht="72.599999999999994" thickBot="1" x14ac:dyDescent="0.35">
      <c r="A114" s="68" t="s">
        <v>334</v>
      </c>
      <c r="B114" s="69" t="s">
        <v>451</v>
      </c>
    </row>
    <row r="115" spans="1:2" ht="58.2" thickBot="1" x14ac:dyDescent="0.35">
      <c r="A115" s="68" t="s">
        <v>335</v>
      </c>
      <c r="B115" s="69" t="s">
        <v>452</v>
      </c>
    </row>
    <row r="116" spans="1:2" ht="15" thickBot="1" x14ac:dyDescent="0.35">
      <c r="A116" s="68" t="s">
        <v>182</v>
      </c>
      <c r="B116" s="69" t="s">
        <v>453</v>
      </c>
    </row>
    <row r="117" spans="1:2" ht="29.4" thickBot="1" x14ac:dyDescent="0.35">
      <c r="A117" s="68" t="s">
        <v>336</v>
      </c>
      <c r="B117" s="69" t="s">
        <v>454</v>
      </c>
    </row>
    <row r="118" spans="1:2" ht="29.4" thickBot="1" x14ac:dyDescent="0.35">
      <c r="A118" s="68" t="s">
        <v>337</v>
      </c>
      <c r="B118" s="69" t="s">
        <v>455</v>
      </c>
    </row>
    <row r="119" spans="1:2" ht="58.2" thickBot="1" x14ac:dyDescent="0.35">
      <c r="A119" s="68" t="s">
        <v>338</v>
      </c>
      <c r="B119" s="69" t="s">
        <v>456</v>
      </c>
    </row>
    <row r="120" spans="1:2" ht="43.8" thickBot="1" x14ac:dyDescent="0.35">
      <c r="A120" s="68" t="s">
        <v>339</v>
      </c>
      <c r="B120" s="69" t="s">
        <v>457</v>
      </c>
    </row>
    <row r="121" spans="1:2" ht="29.4" thickBot="1" x14ac:dyDescent="0.35">
      <c r="A121" s="68" t="s">
        <v>340</v>
      </c>
      <c r="B121" s="69" t="s">
        <v>458</v>
      </c>
    </row>
    <row r="122" spans="1:2" ht="101.4" thickBot="1" x14ac:dyDescent="0.35">
      <c r="A122" s="68" t="s">
        <v>341</v>
      </c>
      <c r="B122" s="69" t="s">
        <v>459</v>
      </c>
    </row>
    <row r="123" spans="1:2" ht="29.4" thickBot="1" x14ac:dyDescent="0.35">
      <c r="A123" s="68" t="s">
        <v>342</v>
      </c>
      <c r="B123" s="69" t="s">
        <v>460</v>
      </c>
    </row>
    <row r="124" spans="1:2" ht="98.25" customHeight="1" x14ac:dyDescent="0.3">
      <c r="A124" s="70" t="s">
        <v>343</v>
      </c>
      <c r="B124" s="71" t="s">
        <v>461</v>
      </c>
    </row>
  </sheetData>
  <conditionalFormatting sqref="D9">
    <cfRule type="containsText" dxfId="91" priority="1" operator="containsText" text="N/A">
      <formula>NOT(ISERROR(SEARCH("N/A",D9)))</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0000"/>
  </sheetPr>
  <dimension ref="A1:F69"/>
  <sheetViews>
    <sheetView tabSelected="1" topLeftCell="C49" zoomScaleNormal="100" workbookViewId="0">
      <selection activeCell="D63" sqref="D63"/>
    </sheetView>
  </sheetViews>
  <sheetFormatPr defaultColWidth="9.109375" defaultRowHeight="14.4" x14ac:dyDescent="0.3"/>
  <cols>
    <col min="1" max="1" width="55.5546875" style="43" customWidth="1"/>
    <col min="2" max="2" width="51" style="15" customWidth="1"/>
    <col min="3" max="3" width="30" style="15" customWidth="1"/>
    <col min="4" max="4" width="51.44140625" style="43" customWidth="1"/>
    <col min="5" max="5" width="36.44140625" style="15" customWidth="1"/>
    <col min="6" max="6" width="81" style="43" customWidth="1"/>
    <col min="7" max="8" width="9.109375" style="15"/>
    <col min="9" max="9" width="55.88671875" style="15" customWidth="1"/>
    <col min="10" max="16384" width="9.109375" style="15"/>
  </cols>
  <sheetData>
    <row r="1" spans="1:6" x14ac:dyDescent="0.3">
      <c r="A1" s="54" t="s">
        <v>230</v>
      </c>
      <c r="B1" s="67"/>
      <c r="C1" s="55"/>
      <c r="D1" s="56"/>
      <c r="E1" s="55"/>
      <c r="F1" s="57"/>
    </row>
    <row r="2" spans="1:6" ht="15" thickBot="1" x14ac:dyDescent="0.35">
      <c r="A2" s="52" t="s">
        <v>232</v>
      </c>
      <c r="B2" s="46" t="s">
        <v>233</v>
      </c>
      <c r="C2" s="46" t="s">
        <v>234</v>
      </c>
      <c r="D2" s="47" t="s">
        <v>231</v>
      </c>
      <c r="E2" s="46" t="s">
        <v>503</v>
      </c>
      <c r="F2" s="62" t="s">
        <v>504</v>
      </c>
    </row>
    <row r="3" spans="1:6" ht="15" thickBot="1" x14ac:dyDescent="0.35">
      <c r="A3" s="53" t="s">
        <v>672</v>
      </c>
      <c r="B3" s="44" t="s">
        <v>673</v>
      </c>
      <c r="C3" s="44" t="s">
        <v>674</v>
      </c>
      <c r="D3" s="45" t="s">
        <v>672</v>
      </c>
      <c r="E3" s="44" t="s">
        <v>1038</v>
      </c>
      <c r="F3" s="84" t="str">
        <f>CONCATENATE(Table1[[#This Row],[Meter Name]]," - ",Table1[[#This Row],[Independent/Campus Meter]])</f>
        <v>09589000114 - MD RT 388 TOM NICHOLS RD - Campus Meter</v>
      </c>
    </row>
    <row r="4" spans="1:6" ht="15" thickBot="1" x14ac:dyDescent="0.35">
      <c r="A4" s="53" t="s">
        <v>597</v>
      </c>
      <c r="B4" s="44" t="s">
        <v>602</v>
      </c>
      <c r="C4" s="44" t="s">
        <v>603</v>
      </c>
      <c r="D4" s="45" t="s">
        <v>662</v>
      </c>
      <c r="E4" s="44" t="s">
        <v>1038</v>
      </c>
      <c r="F4" s="84" t="str">
        <f>CONCATENATE(Table1[[#This Row],[Meter Name]]," - ",Table1[[#This Row],[Independent/Campus Meter]])</f>
        <v>1445300 - MARKSMAN FARM OFFICE - Campus Meter</v>
      </c>
    </row>
    <row r="5" spans="1:6" ht="15" thickBot="1" x14ac:dyDescent="0.35">
      <c r="A5" s="53" t="s">
        <v>670</v>
      </c>
      <c r="B5" s="44" t="s">
        <v>602</v>
      </c>
      <c r="C5" s="44" t="s">
        <v>603</v>
      </c>
      <c r="D5" s="45" t="s">
        <v>671</v>
      </c>
      <c r="E5" s="44" t="s">
        <v>1038</v>
      </c>
      <c r="F5" s="84" t="str">
        <f>CONCATENATE(Table1[[#This Row],[Meter Name]]," - ",Table1[[#This Row],[Independent/Campus Meter]])</f>
        <v>1886102 - GreenHouse - Campus Meter</v>
      </c>
    </row>
    <row r="6" spans="1:6" ht="15" thickBot="1" x14ac:dyDescent="0.35">
      <c r="A6" s="53" t="s">
        <v>675</v>
      </c>
      <c r="B6" s="44" t="s">
        <v>601</v>
      </c>
      <c r="C6" s="44" t="s">
        <v>601</v>
      </c>
      <c r="D6" s="45" t="s">
        <v>676</v>
      </c>
      <c r="E6" s="44" t="s">
        <v>1038</v>
      </c>
      <c r="F6" s="84" t="str">
        <f>CONCATENATE(Table1[[#This Row],[Meter Name]]," - ",Table1[[#This Row],[Independent/Campus Meter]])</f>
        <v>50000661251 - 10789 Stewart Neck Rd - Campus Meter</v>
      </c>
    </row>
    <row r="7" spans="1:6" ht="15" thickBot="1" x14ac:dyDescent="0.35">
      <c r="A7" s="53" t="s">
        <v>593</v>
      </c>
      <c r="B7" s="44" t="s">
        <v>601</v>
      </c>
      <c r="C7" s="44" t="s">
        <v>601</v>
      </c>
      <c r="D7" s="45" t="s">
        <v>658</v>
      </c>
      <c r="E7" s="44" t="s">
        <v>1038</v>
      </c>
      <c r="F7" s="84" t="str">
        <f>CONCATENATE(Table1[[#This Row],[Meter Name]]," - ",Table1[[#This Row],[Independent/Campus Meter]])</f>
        <v>55003385337 (Central) - U Of Md Eastern Shore - Campus Meter</v>
      </c>
    </row>
    <row r="8" spans="1:6" ht="15" thickBot="1" x14ac:dyDescent="0.35">
      <c r="A8" s="53" t="s">
        <v>539</v>
      </c>
      <c r="B8" s="44" t="s">
        <v>601</v>
      </c>
      <c r="C8" s="44" t="s">
        <v>601</v>
      </c>
      <c r="D8" s="45" t="s">
        <v>604</v>
      </c>
      <c r="E8" s="44" t="s">
        <v>1038</v>
      </c>
      <c r="F8" s="84" t="str">
        <f>CONCATENATE(Table1[[#This Row],[Meter Name]]," - ",Table1[[#This Row],[Independent/Campus Meter]])</f>
        <v>55003538042 - College Backbone Rd - Campus Meter</v>
      </c>
    </row>
    <row r="9" spans="1:6" ht="15" thickBot="1" x14ac:dyDescent="0.35">
      <c r="A9" s="53" t="s">
        <v>540</v>
      </c>
      <c r="B9" s="44" t="s">
        <v>601</v>
      </c>
      <c r="C9" s="44" t="s">
        <v>601</v>
      </c>
      <c r="D9" s="45" t="s">
        <v>605</v>
      </c>
      <c r="E9" s="44" t="s">
        <v>1038</v>
      </c>
      <c r="F9" s="84" t="str">
        <f>CONCATENATE(Table1[[#This Row],[Meter Name]]," - ",Table1[[#This Row],[Independent/Campus Meter]])</f>
        <v>55003538745 - 11850 Tom Nichols Rd - Campus Meter</v>
      </c>
    </row>
    <row r="10" spans="1:6" ht="15" thickBot="1" x14ac:dyDescent="0.35">
      <c r="A10" s="53" t="s">
        <v>541</v>
      </c>
      <c r="B10" s="44" t="s">
        <v>601</v>
      </c>
      <c r="C10" s="44" t="s">
        <v>601</v>
      </c>
      <c r="D10" s="45" t="s">
        <v>606</v>
      </c>
      <c r="E10" s="44" t="s">
        <v>1038</v>
      </c>
      <c r="F10" s="63" t="str">
        <f>CONCATENATE(Table1[[#This Row],[Meter Name]]," - ",Table1[[#This Row],[Independent/Campus Meter]])</f>
        <v>55006452258 - College Rd - Campus Meter</v>
      </c>
    </row>
    <row r="11" spans="1:6" ht="15" thickBot="1" x14ac:dyDescent="0.35">
      <c r="A11" s="53" t="s">
        <v>542</v>
      </c>
      <c r="B11" s="44" t="s">
        <v>601</v>
      </c>
      <c r="C11" s="44" t="s">
        <v>601</v>
      </c>
      <c r="D11" s="45" t="s">
        <v>607</v>
      </c>
      <c r="E11" s="44" t="s">
        <v>1038</v>
      </c>
      <c r="F11" s="84" t="str">
        <f>CONCATENATE(Table1[[#This Row],[Meter Name]]," - ",Table1[[#This Row],[Independent/Campus Meter]])</f>
        <v>55007284346 - 11850 Tom Nichols Rd - Campus Meter</v>
      </c>
    </row>
    <row r="12" spans="1:6" ht="15" thickBot="1" x14ac:dyDescent="0.35">
      <c r="A12" s="53" t="s">
        <v>543</v>
      </c>
      <c r="B12" s="44" t="s">
        <v>601</v>
      </c>
      <c r="C12" s="44" t="s">
        <v>601</v>
      </c>
      <c r="D12" s="45" t="s">
        <v>608</v>
      </c>
      <c r="E12" s="44" t="s">
        <v>1038</v>
      </c>
      <c r="F12" s="84" t="str">
        <f>CONCATENATE(Table1[[#This Row],[Meter Name]]," - ",Table1[[#This Row],[Independent/Campus Meter]])</f>
        <v>55007354149 - 30578 Broad St - Campus Meter</v>
      </c>
    </row>
    <row r="13" spans="1:6" ht="15" thickBot="1" x14ac:dyDescent="0.35">
      <c r="A13" s="53" t="s">
        <v>544</v>
      </c>
      <c r="B13" s="44" t="s">
        <v>601</v>
      </c>
      <c r="C13" s="44" t="s">
        <v>601</v>
      </c>
      <c r="D13" s="45" t="s">
        <v>609</v>
      </c>
      <c r="E13" s="44" t="s">
        <v>1038</v>
      </c>
      <c r="F13" s="84" t="str">
        <f>CONCATENATE(Table1[[#This Row],[Meter Name]]," - ",Table1[[#This Row],[Independent/Campus Meter]])</f>
        <v>55007354958 - 30578 Broad St - Campus Meter</v>
      </c>
    </row>
    <row r="14" spans="1:6" ht="15" thickBot="1" x14ac:dyDescent="0.35">
      <c r="A14" s="53" t="s">
        <v>545</v>
      </c>
      <c r="B14" s="44" t="s">
        <v>601</v>
      </c>
      <c r="C14" s="44" t="s">
        <v>601</v>
      </c>
      <c r="D14" s="45" t="s">
        <v>610</v>
      </c>
      <c r="E14" s="44" t="s">
        <v>1038</v>
      </c>
      <c r="F14" s="84" t="str">
        <f>CONCATENATE(Table1[[#This Row],[Meter Name]]," - ",Table1[[#This Row],[Independent/Campus Meter]])</f>
        <v>55007355229 - 30578 Broad St - Campus Meter</v>
      </c>
    </row>
    <row r="15" spans="1:6" ht="15" thickBot="1" x14ac:dyDescent="0.35">
      <c r="A15" s="53" t="s">
        <v>546</v>
      </c>
      <c r="B15" s="44" t="s">
        <v>601</v>
      </c>
      <c r="C15" s="44" t="s">
        <v>601</v>
      </c>
      <c r="D15" s="45" t="s">
        <v>611</v>
      </c>
      <c r="E15" s="44" t="s">
        <v>1038</v>
      </c>
      <c r="F15" s="84" t="str">
        <f>CONCATENATE(Table1[[#This Row],[Meter Name]]," - ",Table1[[#This Row],[Independent/Campus Meter]])</f>
        <v>55007356193 - 30578 Broad St - Campus Meter</v>
      </c>
    </row>
    <row r="16" spans="1:6" ht="15" thickBot="1" x14ac:dyDescent="0.35">
      <c r="A16" s="53" t="s">
        <v>547</v>
      </c>
      <c r="B16" s="44" t="s">
        <v>601</v>
      </c>
      <c r="C16" s="44" t="s">
        <v>601</v>
      </c>
      <c r="D16" s="45" t="s">
        <v>612</v>
      </c>
      <c r="E16" s="44" t="s">
        <v>1038</v>
      </c>
      <c r="F16" s="84" t="str">
        <f>CONCATENATE(Table1[[#This Row],[Meter Name]]," - ",Table1[[#This Row],[Independent/Campus Meter]])</f>
        <v>55007356490 - 30578 Broad St - Campus Meter</v>
      </c>
    </row>
    <row r="17" spans="1:6" ht="15" thickBot="1" x14ac:dyDescent="0.35">
      <c r="A17" s="53" t="s">
        <v>548</v>
      </c>
      <c r="B17" s="44" t="s">
        <v>601</v>
      </c>
      <c r="C17" s="44" t="s">
        <v>601</v>
      </c>
      <c r="D17" s="45" t="s">
        <v>613</v>
      </c>
      <c r="E17" s="44" t="s">
        <v>1038</v>
      </c>
      <c r="F17" s="84" t="str">
        <f>CONCATENATE(Table1[[#This Row],[Meter Name]]," - ",Table1[[#This Row],[Independent/Campus Meter]])</f>
        <v>55007356888 - 30578 Broad St - Campus Meter</v>
      </c>
    </row>
    <row r="18" spans="1:6" ht="15" thickBot="1" x14ac:dyDescent="0.35">
      <c r="A18" s="53" t="s">
        <v>549</v>
      </c>
      <c r="B18" s="44" t="s">
        <v>601</v>
      </c>
      <c r="C18" s="44" t="s">
        <v>601</v>
      </c>
      <c r="D18" s="45" t="s">
        <v>614</v>
      </c>
      <c r="E18" s="44" t="s">
        <v>1038</v>
      </c>
      <c r="F18" s="84" t="str">
        <f>CONCATENATE(Table1[[#This Row],[Meter Name]]," - ",Table1[[#This Row],[Independent/Campus Meter]])</f>
        <v>55007357266 - 30578 Broad St - Campus Meter</v>
      </c>
    </row>
    <row r="19" spans="1:6" ht="15" thickBot="1" x14ac:dyDescent="0.35">
      <c r="A19" s="53" t="s">
        <v>550</v>
      </c>
      <c r="B19" s="44" t="s">
        <v>601</v>
      </c>
      <c r="C19" s="44" t="s">
        <v>601</v>
      </c>
      <c r="D19" s="45" t="s">
        <v>615</v>
      </c>
      <c r="E19" s="44" t="s">
        <v>1038</v>
      </c>
      <c r="F19" s="84" t="str">
        <f>CONCATENATE(Table1[[#This Row],[Meter Name]]," - ",Table1[[#This Row],[Independent/Campus Meter]])</f>
        <v>55007357837 - 30578 Broad St - Campus Meter</v>
      </c>
    </row>
    <row r="20" spans="1:6" ht="15" thickBot="1" x14ac:dyDescent="0.35">
      <c r="A20" s="53" t="s">
        <v>551</v>
      </c>
      <c r="B20" s="44" t="s">
        <v>601</v>
      </c>
      <c r="C20" s="44" t="s">
        <v>601</v>
      </c>
      <c r="D20" s="45" t="s">
        <v>616</v>
      </c>
      <c r="E20" s="44" t="s">
        <v>1038</v>
      </c>
      <c r="F20" s="84" t="str">
        <f>CONCATENATE(Table1[[#This Row],[Meter Name]]," - ",Table1[[#This Row],[Independent/Campus Meter]])</f>
        <v>55007378098 - 30578 Broad St - Campus Meter</v>
      </c>
    </row>
    <row r="21" spans="1:6" ht="15" thickBot="1" x14ac:dyDescent="0.35">
      <c r="A21" s="53" t="s">
        <v>552</v>
      </c>
      <c r="B21" s="44" t="s">
        <v>601</v>
      </c>
      <c r="C21" s="44" t="s">
        <v>601</v>
      </c>
      <c r="D21" s="45" t="s">
        <v>617</v>
      </c>
      <c r="E21" s="44" t="s">
        <v>1038</v>
      </c>
      <c r="F21" s="84" t="str">
        <f>CONCATENATE(Table1[[#This Row],[Meter Name]]," - ",Table1[[#This Row],[Independent/Campus Meter]])</f>
        <v>55007378445 - 30578 Broad St Apt 1521 - Campus Meter</v>
      </c>
    </row>
    <row r="22" spans="1:6" ht="15" thickBot="1" x14ac:dyDescent="0.35">
      <c r="A22" s="53" t="s">
        <v>553</v>
      </c>
      <c r="B22" s="44" t="s">
        <v>601</v>
      </c>
      <c r="C22" s="44" t="s">
        <v>601</v>
      </c>
      <c r="D22" s="45" t="s">
        <v>618</v>
      </c>
      <c r="E22" s="44" t="s">
        <v>1038</v>
      </c>
      <c r="F22" s="84" t="str">
        <f>CONCATENATE(Table1[[#This Row],[Meter Name]]," - ",Table1[[#This Row],[Independent/Campus Meter]])</f>
        <v>55007378684 - 30578 Broad St - Campus Meter</v>
      </c>
    </row>
    <row r="23" spans="1:6" ht="15" thickBot="1" x14ac:dyDescent="0.35">
      <c r="A23" s="53" t="s">
        <v>554</v>
      </c>
      <c r="B23" s="44" t="s">
        <v>601</v>
      </c>
      <c r="C23" s="44" t="s">
        <v>601</v>
      </c>
      <c r="D23" s="45" t="s">
        <v>619</v>
      </c>
      <c r="E23" s="44" t="s">
        <v>1038</v>
      </c>
      <c r="F23" s="84" t="str">
        <f>CONCATENATE(Table1[[#This Row],[Meter Name]]," - ",Table1[[#This Row],[Independent/Campus Meter]])</f>
        <v>55007379120 - 30578 Broad St - Campus Meter</v>
      </c>
    </row>
    <row r="24" spans="1:6" ht="15" thickBot="1" x14ac:dyDescent="0.35">
      <c r="A24" s="53" t="s">
        <v>555</v>
      </c>
      <c r="B24" s="44" t="s">
        <v>601</v>
      </c>
      <c r="C24" s="44" t="s">
        <v>601</v>
      </c>
      <c r="D24" s="45" t="s">
        <v>620</v>
      </c>
      <c r="E24" s="44" t="s">
        <v>1038</v>
      </c>
      <c r="F24" s="84" t="str">
        <f>CONCATENATE(Table1[[#This Row],[Meter Name]]," - ",Table1[[#This Row],[Independent/Campus Meter]])</f>
        <v>55007379591 - 30578 Broad St - Campus Meter</v>
      </c>
    </row>
    <row r="25" spans="1:6" ht="15" thickBot="1" x14ac:dyDescent="0.35">
      <c r="A25" s="53" t="s">
        <v>556</v>
      </c>
      <c r="B25" s="44" t="s">
        <v>601</v>
      </c>
      <c r="C25" s="44" t="s">
        <v>601</v>
      </c>
      <c r="D25" s="45" t="s">
        <v>621</v>
      </c>
      <c r="E25" s="44" t="s">
        <v>1038</v>
      </c>
      <c r="F25" s="84" t="str">
        <f>CONCATENATE(Table1[[#This Row],[Meter Name]]," - ",Table1[[#This Row],[Independent/Campus Meter]])</f>
        <v>55007379807 - 30578 Broad St - Campus Meter</v>
      </c>
    </row>
    <row r="26" spans="1:6" ht="15" thickBot="1" x14ac:dyDescent="0.35">
      <c r="A26" s="53" t="s">
        <v>557</v>
      </c>
      <c r="B26" s="44" t="s">
        <v>601</v>
      </c>
      <c r="C26" s="44" t="s">
        <v>601</v>
      </c>
      <c r="D26" s="45" t="s">
        <v>622</v>
      </c>
      <c r="E26" s="44" t="s">
        <v>1038</v>
      </c>
      <c r="F26" s="84" t="str">
        <f>CONCATENATE(Table1[[#This Row],[Meter Name]]," - ",Table1[[#This Row],[Independent/Campus Meter]])</f>
        <v>55007380300 - 30578 Broad St - Campus Meter</v>
      </c>
    </row>
    <row r="27" spans="1:6" ht="15" thickBot="1" x14ac:dyDescent="0.35">
      <c r="A27" s="53" t="s">
        <v>558</v>
      </c>
      <c r="B27" s="44" t="s">
        <v>601</v>
      </c>
      <c r="C27" s="44" t="s">
        <v>601</v>
      </c>
      <c r="D27" s="45" t="s">
        <v>623</v>
      </c>
      <c r="E27" s="44" t="s">
        <v>1038</v>
      </c>
      <c r="F27" s="84" t="str">
        <f>CONCATENATE(Table1[[#This Row],[Meter Name]]," - ",Table1[[#This Row],[Independent/Campus Meter]])</f>
        <v>55007380797 - 30578 Broad St - Campus Meter</v>
      </c>
    </row>
    <row r="28" spans="1:6" ht="15" thickBot="1" x14ac:dyDescent="0.35">
      <c r="A28" s="53" t="s">
        <v>559</v>
      </c>
      <c r="B28" s="44" t="s">
        <v>601</v>
      </c>
      <c r="C28" s="44" t="s">
        <v>601</v>
      </c>
      <c r="D28" s="45" t="s">
        <v>624</v>
      </c>
      <c r="E28" s="44" t="s">
        <v>1038</v>
      </c>
      <c r="F28" s="84" t="str">
        <f>CONCATENATE(Table1[[#This Row],[Meter Name]]," - ",Table1[[#This Row],[Independent/Campus Meter]])</f>
        <v>55007380946 - 30578 Broad St - Campus Meter</v>
      </c>
    </row>
    <row r="29" spans="1:6" ht="15" thickBot="1" x14ac:dyDescent="0.35">
      <c r="A29" s="53" t="s">
        <v>560</v>
      </c>
      <c r="B29" s="44" t="s">
        <v>601</v>
      </c>
      <c r="C29" s="44" t="s">
        <v>601</v>
      </c>
      <c r="D29" s="45" t="s">
        <v>625</v>
      </c>
      <c r="E29" s="44" t="s">
        <v>1038</v>
      </c>
      <c r="F29" s="84" t="str">
        <f>CONCATENATE(Table1[[#This Row],[Meter Name]]," - ",Table1[[#This Row],[Independent/Campus Meter]])</f>
        <v>55007381340 - 11811 Tom Nichols Rd - Campus Meter</v>
      </c>
    </row>
    <row r="30" spans="1:6" ht="15" thickBot="1" x14ac:dyDescent="0.35">
      <c r="A30" s="53" t="s">
        <v>561</v>
      </c>
      <c r="B30" s="44" t="s">
        <v>601</v>
      </c>
      <c r="C30" s="44" t="s">
        <v>601</v>
      </c>
      <c r="D30" s="45" t="s">
        <v>626</v>
      </c>
      <c r="E30" s="44" t="s">
        <v>1038</v>
      </c>
      <c r="F30" s="84" t="str">
        <f>CONCATENATE(Table1[[#This Row],[Meter Name]]," - ",Table1[[#This Row],[Independent/Campus Meter]])</f>
        <v>55007381787 - 30578 Broad St - Campus Meter</v>
      </c>
    </row>
    <row r="31" spans="1:6" ht="15" thickBot="1" x14ac:dyDescent="0.35">
      <c r="A31" s="53" t="s">
        <v>562</v>
      </c>
      <c r="B31" s="44" t="s">
        <v>601</v>
      </c>
      <c r="C31" s="44" t="s">
        <v>601</v>
      </c>
      <c r="D31" s="45" t="s">
        <v>627</v>
      </c>
      <c r="E31" s="44" t="s">
        <v>1038</v>
      </c>
      <c r="F31" s="84" t="str">
        <f>CONCATENATE(Table1[[#This Row],[Meter Name]]," - ",Table1[[#This Row],[Independent/Campus Meter]])</f>
        <v>55007402112 - 30578 Broad St - Campus Meter</v>
      </c>
    </row>
    <row r="32" spans="1:6" ht="15" thickBot="1" x14ac:dyDescent="0.35">
      <c r="A32" s="53" t="s">
        <v>563</v>
      </c>
      <c r="B32" s="44" t="s">
        <v>601</v>
      </c>
      <c r="C32" s="44" t="s">
        <v>601</v>
      </c>
      <c r="D32" s="45" t="s">
        <v>628</v>
      </c>
      <c r="E32" s="44" t="s">
        <v>1038</v>
      </c>
      <c r="F32" s="84" t="str">
        <f>CONCATENATE(Table1[[#This Row],[Meter Name]]," - ",Table1[[#This Row],[Independent/Campus Meter]])</f>
        <v>55007402450 - 30578 Broad St - Campus Meter</v>
      </c>
    </row>
    <row r="33" spans="1:6" ht="15" thickBot="1" x14ac:dyDescent="0.35">
      <c r="A33" s="53" t="s">
        <v>564</v>
      </c>
      <c r="B33" s="44" t="s">
        <v>601</v>
      </c>
      <c r="C33" s="44" t="s">
        <v>601</v>
      </c>
      <c r="D33" s="45" t="s">
        <v>629</v>
      </c>
      <c r="E33" s="44" t="s">
        <v>1038</v>
      </c>
      <c r="F33" s="84" t="str">
        <f>CONCATENATE(Table1[[#This Row],[Meter Name]]," - ",Table1[[#This Row],[Independent/Campus Meter]])</f>
        <v>55007402914 - 30578 Broad St - Campus Meter</v>
      </c>
    </row>
    <row r="34" spans="1:6" ht="15" thickBot="1" x14ac:dyDescent="0.35">
      <c r="A34" s="53" t="s">
        <v>565</v>
      </c>
      <c r="B34" s="44" t="s">
        <v>601</v>
      </c>
      <c r="C34" s="44" t="s">
        <v>601</v>
      </c>
      <c r="D34" s="45" t="s">
        <v>630</v>
      </c>
      <c r="E34" s="44" t="s">
        <v>1038</v>
      </c>
      <c r="F34" s="84" t="str">
        <f>CONCATENATE(Table1[[#This Row],[Meter Name]]," - ",Table1[[#This Row],[Independent/Campus Meter]])</f>
        <v>55007403136 - 30578 Broad St - Campus Meter</v>
      </c>
    </row>
    <row r="35" spans="1:6" ht="15" thickBot="1" x14ac:dyDescent="0.35">
      <c r="A35" s="53" t="s">
        <v>566</v>
      </c>
      <c r="B35" s="44" t="s">
        <v>601</v>
      </c>
      <c r="C35" s="44" t="s">
        <v>601</v>
      </c>
      <c r="D35" s="45" t="s">
        <v>631</v>
      </c>
      <c r="E35" s="44" t="s">
        <v>1038</v>
      </c>
      <c r="F35" s="84" t="str">
        <f>CONCATENATE(Table1[[#This Row],[Meter Name]]," - ",Table1[[#This Row],[Independent/Campus Meter]])</f>
        <v>55007403433 - 30578 Broad St - Campus Meter</v>
      </c>
    </row>
    <row r="36" spans="1:6" ht="15" thickBot="1" x14ac:dyDescent="0.35">
      <c r="A36" s="53" t="s">
        <v>576</v>
      </c>
      <c r="B36" s="44" t="s">
        <v>601</v>
      </c>
      <c r="C36" s="44" t="s">
        <v>601</v>
      </c>
      <c r="D36" s="45" t="s">
        <v>641</v>
      </c>
      <c r="E36" s="44" t="s">
        <v>1038</v>
      </c>
      <c r="F36" s="84" t="str">
        <f>CONCATENATE(Table1[[#This Row],[Meter Name]]," - ",Table1[[#This Row],[Independent/Campus Meter]])</f>
        <v>55007403870 - 30578 Broad St - Campus Meter</v>
      </c>
    </row>
    <row r="37" spans="1:6" ht="15" thickBot="1" x14ac:dyDescent="0.35">
      <c r="A37" s="53" t="s">
        <v>567</v>
      </c>
      <c r="B37" s="44" t="s">
        <v>601</v>
      </c>
      <c r="C37" s="44" t="s">
        <v>601</v>
      </c>
      <c r="D37" s="45" t="s">
        <v>632</v>
      </c>
      <c r="E37" s="44" t="s">
        <v>1038</v>
      </c>
      <c r="F37" s="84" t="str">
        <f>CONCATENATE(Table1[[#This Row],[Meter Name]]," - ",Table1[[#This Row],[Independent/Campus Meter]])</f>
        <v>55007404324 - 30578 Broad St - Campus Meter</v>
      </c>
    </row>
    <row r="38" spans="1:6" ht="15" thickBot="1" x14ac:dyDescent="0.35">
      <c r="A38" s="53" t="s">
        <v>568</v>
      </c>
      <c r="B38" s="44" t="s">
        <v>601</v>
      </c>
      <c r="C38" s="44" t="s">
        <v>601</v>
      </c>
      <c r="D38" s="45" t="s">
        <v>633</v>
      </c>
      <c r="E38" s="44" t="s">
        <v>1038</v>
      </c>
      <c r="F38" s="84" t="str">
        <f>CONCATENATE(Table1[[#This Row],[Meter Name]]," - ",Table1[[#This Row],[Independent/Campus Meter]])</f>
        <v>55007404845 - 30578 Broad St - Campus Meter</v>
      </c>
    </row>
    <row r="39" spans="1:6" ht="15" thickBot="1" x14ac:dyDescent="0.35">
      <c r="A39" s="53" t="s">
        <v>569</v>
      </c>
      <c r="B39" s="44" t="s">
        <v>601</v>
      </c>
      <c r="C39" s="44" t="s">
        <v>601</v>
      </c>
      <c r="D39" s="45" t="s">
        <v>634</v>
      </c>
      <c r="E39" s="44" t="s">
        <v>1038</v>
      </c>
      <c r="F39" s="84" t="str">
        <f>CONCATENATE(Table1[[#This Row],[Meter Name]]," - ",Table1[[#This Row],[Independent/Campus Meter]])</f>
        <v>55007405222 - 30578 Broad St - Campus Meter</v>
      </c>
    </row>
    <row r="40" spans="1:6" ht="15" thickBot="1" x14ac:dyDescent="0.35">
      <c r="A40" s="53" t="s">
        <v>570</v>
      </c>
      <c r="B40" s="44" t="s">
        <v>601</v>
      </c>
      <c r="C40" s="44" t="s">
        <v>601</v>
      </c>
      <c r="D40" s="45" t="s">
        <v>635</v>
      </c>
      <c r="E40" s="44" t="s">
        <v>1038</v>
      </c>
      <c r="F40" s="84" t="str">
        <f>CONCATENATE(Table1[[#This Row],[Meter Name]]," - ",Table1[[#This Row],[Independent/Campus Meter]])</f>
        <v>55007405636 - 30578 Broad St - Campus Meter</v>
      </c>
    </row>
    <row r="41" spans="1:6" ht="15" thickBot="1" x14ac:dyDescent="0.35">
      <c r="A41" s="53" t="s">
        <v>571</v>
      </c>
      <c r="B41" s="44" t="s">
        <v>601</v>
      </c>
      <c r="C41" s="44" t="s">
        <v>601</v>
      </c>
      <c r="D41" s="45" t="s">
        <v>636</v>
      </c>
      <c r="E41" s="44" t="s">
        <v>1038</v>
      </c>
      <c r="F41" s="84" t="str">
        <f>CONCATENATE(Table1[[#This Row],[Meter Name]]," - ",Table1[[#This Row],[Independent/Campus Meter]])</f>
        <v>55007405891 - 30578 Broad St - Campus Meter</v>
      </c>
    </row>
    <row r="42" spans="1:6" ht="15" thickBot="1" x14ac:dyDescent="0.35">
      <c r="A42" s="53" t="s">
        <v>572</v>
      </c>
      <c r="B42" s="44" t="s">
        <v>601</v>
      </c>
      <c r="C42" s="44" t="s">
        <v>601</v>
      </c>
      <c r="D42" s="45" t="s">
        <v>637</v>
      </c>
      <c r="E42" s="44" t="s">
        <v>1038</v>
      </c>
      <c r="F42" s="84" t="str">
        <f>CONCATENATE(Table1[[#This Row],[Meter Name]]," - ",Table1[[#This Row],[Independent/Campus Meter]])</f>
        <v>55007426194 - 30578 Broad St - Campus Meter</v>
      </c>
    </row>
    <row r="43" spans="1:6" ht="15" thickBot="1" x14ac:dyDescent="0.35">
      <c r="A43" s="53" t="s">
        <v>573</v>
      </c>
      <c r="B43" s="44" t="s">
        <v>601</v>
      </c>
      <c r="C43" s="44" t="s">
        <v>601</v>
      </c>
      <c r="D43" s="45" t="s">
        <v>638</v>
      </c>
      <c r="E43" s="44" t="s">
        <v>1038</v>
      </c>
      <c r="F43" s="84" t="str">
        <f>CONCATENATE(Table1[[#This Row],[Meter Name]]," - ",Table1[[#This Row],[Independent/Campus Meter]])</f>
        <v>55007426830 - 30578 Broad St - Campus Meter</v>
      </c>
    </row>
    <row r="44" spans="1:6" ht="15" thickBot="1" x14ac:dyDescent="0.35">
      <c r="A44" s="53" t="s">
        <v>574</v>
      </c>
      <c r="B44" s="44" t="s">
        <v>601</v>
      </c>
      <c r="C44" s="44" t="s">
        <v>601</v>
      </c>
      <c r="D44" s="45" t="s">
        <v>639</v>
      </c>
      <c r="E44" s="44" t="s">
        <v>1038</v>
      </c>
      <c r="F44" s="84" t="str">
        <f>CONCATENATE(Table1[[#This Row],[Meter Name]]," - ",Table1[[#This Row],[Independent/Campus Meter]])</f>
        <v>55007427077 - 30578 Broad St - Campus Meter</v>
      </c>
    </row>
    <row r="45" spans="1:6" ht="15" thickBot="1" x14ac:dyDescent="0.35">
      <c r="A45" s="53" t="s">
        <v>595</v>
      </c>
      <c r="B45" s="44" t="s">
        <v>601</v>
      </c>
      <c r="C45" s="44" t="s">
        <v>601</v>
      </c>
      <c r="D45" s="45" t="s">
        <v>660</v>
      </c>
      <c r="E45" s="44" t="s">
        <v>1038</v>
      </c>
      <c r="F45" s="84" t="str">
        <f>CONCATENATE(Table1[[#This Row],[Meter Name]]," - ",Table1[[#This Row],[Independent/Campus Meter]])</f>
        <v>55007427333 - 30578 Broad St - Campus Meter</v>
      </c>
    </row>
    <row r="46" spans="1:6" ht="15" thickBot="1" x14ac:dyDescent="0.35">
      <c r="A46" s="53" t="s">
        <v>575</v>
      </c>
      <c r="B46" s="44" t="s">
        <v>601</v>
      </c>
      <c r="C46" s="44" t="s">
        <v>601</v>
      </c>
      <c r="D46" s="45" t="s">
        <v>640</v>
      </c>
      <c r="E46" s="44" t="s">
        <v>1038</v>
      </c>
      <c r="F46" s="84" t="str">
        <f>CONCATENATE(Table1[[#This Row],[Meter Name]]," - ",Table1[[#This Row],[Independent/Campus Meter]])</f>
        <v>55007427903 - 30578 Broad St - Campus Meter</v>
      </c>
    </row>
    <row r="47" spans="1:6" ht="15" thickBot="1" x14ac:dyDescent="0.35">
      <c r="A47" s="53" t="s">
        <v>577</v>
      </c>
      <c r="B47" s="44" t="s">
        <v>601</v>
      </c>
      <c r="C47" s="44" t="s">
        <v>601</v>
      </c>
      <c r="D47" s="45" t="s">
        <v>642</v>
      </c>
      <c r="E47" s="44" t="s">
        <v>1038</v>
      </c>
      <c r="F47" s="84" t="str">
        <f>CONCATENATE(Table1[[#This Row],[Meter Name]]," - ",Table1[[#This Row],[Independent/Campus Meter]])</f>
        <v>55007428141 - 30578 Broad St - Campus Meter</v>
      </c>
    </row>
    <row r="48" spans="1:6" ht="15" thickBot="1" x14ac:dyDescent="0.35">
      <c r="A48" s="53" t="s">
        <v>578</v>
      </c>
      <c r="B48" s="44" t="s">
        <v>601</v>
      </c>
      <c r="C48" s="44" t="s">
        <v>601</v>
      </c>
      <c r="D48" s="45" t="s">
        <v>643</v>
      </c>
      <c r="E48" s="44" t="s">
        <v>1038</v>
      </c>
      <c r="F48" s="84" t="str">
        <f>CONCATENATE(Table1[[#This Row],[Meter Name]]," - ",Table1[[#This Row],[Independent/Campus Meter]])</f>
        <v>55007428794 - 30578 Broad St - Campus Meter</v>
      </c>
    </row>
    <row r="49" spans="1:6" ht="15" thickBot="1" x14ac:dyDescent="0.35">
      <c r="A49" s="53" t="s">
        <v>579</v>
      </c>
      <c r="B49" s="44" t="s">
        <v>601</v>
      </c>
      <c r="C49" s="44" t="s">
        <v>601</v>
      </c>
      <c r="D49" s="45" t="s">
        <v>644</v>
      </c>
      <c r="E49" s="44" t="s">
        <v>1038</v>
      </c>
      <c r="F49" s="84" t="str">
        <f>CONCATENATE(Table1[[#This Row],[Meter Name]]," - ",Table1[[#This Row],[Independent/Campus Meter]])</f>
        <v>55007429131 - 30578 Broad St - Campus Meter</v>
      </c>
    </row>
    <row r="50" spans="1:6" ht="15" thickBot="1" x14ac:dyDescent="0.35">
      <c r="A50" s="53" t="s">
        <v>580</v>
      </c>
      <c r="B50" s="44" t="s">
        <v>601</v>
      </c>
      <c r="C50" s="44" t="s">
        <v>601</v>
      </c>
      <c r="D50" s="45" t="s">
        <v>645</v>
      </c>
      <c r="E50" s="44" t="s">
        <v>1038</v>
      </c>
      <c r="F50" s="84" t="str">
        <f>CONCATENATE(Table1[[#This Row],[Meter Name]]," - ",Table1[[#This Row],[Independent/Campus Meter]])</f>
        <v>55007429586 - 30578 Broad St - Campus Meter</v>
      </c>
    </row>
    <row r="51" spans="1:6" ht="15" thickBot="1" x14ac:dyDescent="0.35">
      <c r="A51" s="53" t="s">
        <v>581</v>
      </c>
      <c r="B51" s="44" t="s">
        <v>601</v>
      </c>
      <c r="C51" s="44" t="s">
        <v>601</v>
      </c>
      <c r="D51" s="45" t="s">
        <v>646</v>
      </c>
      <c r="E51" s="44" t="s">
        <v>1038</v>
      </c>
      <c r="F51" s="84" t="str">
        <f>CONCATENATE(Table1[[#This Row],[Meter Name]]," - ",Table1[[#This Row],[Independent/Campus Meter]])</f>
        <v>55007450020 - 30578 Broad St - Campus Meter</v>
      </c>
    </row>
    <row r="52" spans="1:6" ht="15" thickBot="1" x14ac:dyDescent="0.35">
      <c r="A52" s="53" t="s">
        <v>582</v>
      </c>
      <c r="B52" s="44" t="s">
        <v>601</v>
      </c>
      <c r="C52" s="44" t="s">
        <v>601</v>
      </c>
      <c r="D52" s="45" t="s">
        <v>647</v>
      </c>
      <c r="E52" s="44" t="s">
        <v>1038</v>
      </c>
      <c r="F52" s="84" t="str">
        <f>CONCATENATE(Table1[[#This Row],[Meter Name]]," - ",Table1[[#This Row],[Independent/Campus Meter]])</f>
        <v>55007450400 - 30578 Broad St - Campus Meter</v>
      </c>
    </row>
    <row r="53" spans="1:6" ht="15" thickBot="1" x14ac:dyDescent="0.35">
      <c r="A53" s="53" t="s">
        <v>583</v>
      </c>
      <c r="B53" s="44" t="s">
        <v>601</v>
      </c>
      <c r="C53" s="44" t="s">
        <v>601</v>
      </c>
      <c r="D53" s="45" t="s">
        <v>648</v>
      </c>
      <c r="E53" s="44" t="s">
        <v>1038</v>
      </c>
      <c r="F53" s="84" t="str">
        <f>CONCATENATE(Table1[[#This Row],[Meter Name]]," - ",Table1[[#This Row],[Independent/Campus Meter]])</f>
        <v>55007450822 - 30578 Broad St - Campus Meter</v>
      </c>
    </row>
    <row r="54" spans="1:6" ht="15" thickBot="1" x14ac:dyDescent="0.35">
      <c r="A54" s="53" t="s">
        <v>584</v>
      </c>
      <c r="B54" s="44" t="s">
        <v>601</v>
      </c>
      <c r="C54" s="44" t="s">
        <v>601</v>
      </c>
      <c r="D54" s="45" t="s">
        <v>649</v>
      </c>
      <c r="E54" s="44" t="s">
        <v>1038</v>
      </c>
      <c r="F54" s="84" t="str">
        <f>CONCATENATE(Table1[[#This Row],[Meter Name]]," - ",Table1[[#This Row],[Independent/Campus Meter]])</f>
        <v>55007451150 - 30578 Broad St - Campus Meter</v>
      </c>
    </row>
    <row r="55" spans="1:6" ht="15" thickBot="1" x14ac:dyDescent="0.35">
      <c r="A55" s="53" t="s">
        <v>585</v>
      </c>
      <c r="B55" s="44" t="s">
        <v>601</v>
      </c>
      <c r="C55" s="44" t="s">
        <v>601</v>
      </c>
      <c r="D55" s="45" t="s">
        <v>650</v>
      </c>
      <c r="E55" s="44" t="s">
        <v>1038</v>
      </c>
      <c r="F55" s="84" t="str">
        <f>CONCATENATE(Table1[[#This Row],[Meter Name]]," - ",Table1[[#This Row],[Independent/Campus Meter]])</f>
        <v>55007451549 - 30578 Broad St - Campus Meter</v>
      </c>
    </row>
    <row r="56" spans="1:6" ht="15" thickBot="1" x14ac:dyDescent="0.35">
      <c r="A56" s="53" t="s">
        <v>586</v>
      </c>
      <c r="B56" s="44" t="s">
        <v>601</v>
      </c>
      <c r="C56" s="44" t="s">
        <v>601</v>
      </c>
      <c r="D56" s="45" t="s">
        <v>651</v>
      </c>
      <c r="E56" s="44" t="s">
        <v>1038</v>
      </c>
      <c r="F56" s="84" t="str">
        <f>CONCATENATE(Table1[[#This Row],[Meter Name]]," - ",Table1[[#This Row],[Independent/Campus Meter]])</f>
        <v>55007451887 - 30578 Broad St - Campus Meter</v>
      </c>
    </row>
    <row r="57" spans="1:6" ht="15" thickBot="1" x14ac:dyDescent="0.35">
      <c r="A57" s="53" t="s">
        <v>587</v>
      </c>
      <c r="B57" s="44" t="s">
        <v>601</v>
      </c>
      <c r="C57" s="44" t="s">
        <v>601</v>
      </c>
      <c r="D57" s="45" t="s">
        <v>652</v>
      </c>
      <c r="E57" s="44" t="s">
        <v>1038</v>
      </c>
      <c r="F57" s="84" t="str">
        <f>CONCATENATE(Table1[[#This Row],[Meter Name]]," - ",Table1[[#This Row],[Independent/Campus Meter]])</f>
        <v>55007452109 - 30578 Broad St - Campus Meter</v>
      </c>
    </row>
    <row r="58" spans="1:6" ht="15" thickBot="1" x14ac:dyDescent="0.35">
      <c r="A58" s="53" t="s">
        <v>588</v>
      </c>
      <c r="B58" s="44" t="s">
        <v>601</v>
      </c>
      <c r="C58" s="44" t="s">
        <v>601</v>
      </c>
      <c r="D58" s="45" t="s">
        <v>653</v>
      </c>
      <c r="E58" s="44" t="s">
        <v>1038</v>
      </c>
      <c r="F58" s="84" t="str">
        <f>CONCATENATE(Table1[[#This Row],[Meter Name]]," - ",Table1[[#This Row],[Independent/Campus Meter]])</f>
        <v>55007452299 - 30578 Broad St - Campus Meter</v>
      </c>
    </row>
    <row r="59" spans="1:6" ht="15" thickBot="1" x14ac:dyDescent="0.35">
      <c r="A59" s="53" t="s">
        <v>589</v>
      </c>
      <c r="B59" s="44" t="s">
        <v>601</v>
      </c>
      <c r="C59" s="44" t="s">
        <v>601</v>
      </c>
      <c r="D59" s="45" t="s">
        <v>654</v>
      </c>
      <c r="E59" s="44" t="s">
        <v>1038</v>
      </c>
      <c r="F59" s="84" t="str">
        <f>CONCATENATE(Table1[[#This Row],[Meter Name]]," - ",Table1[[#This Row],[Independent/Campus Meter]])</f>
        <v>55007452364 - 30578 Broad St - Campus Meter</v>
      </c>
    </row>
    <row r="60" spans="1:6" ht="15" thickBot="1" x14ac:dyDescent="0.35">
      <c r="A60" s="53" t="s">
        <v>590</v>
      </c>
      <c r="B60" s="44" t="s">
        <v>601</v>
      </c>
      <c r="C60" s="44" t="s">
        <v>601</v>
      </c>
      <c r="D60" s="45" t="s">
        <v>655</v>
      </c>
      <c r="E60" s="44" t="s">
        <v>1038</v>
      </c>
      <c r="F60" s="84" t="str">
        <f>CONCATENATE(Table1[[#This Row],[Meter Name]]," - ",Table1[[#This Row],[Independent/Campus Meter]])</f>
        <v>55007452695 - 30578 Broad St - Campus Meter</v>
      </c>
    </row>
    <row r="61" spans="1:6" ht="15" thickBot="1" x14ac:dyDescent="0.35">
      <c r="A61" s="53" t="s">
        <v>591</v>
      </c>
      <c r="B61" s="44" t="s">
        <v>601</v>
      </c>
      <c r="C61" s="44" t="s">
        <v>601</v>
      </c>
      <c r="D61" s="45" t="s">
        <v>656</v>
      </c>
      <c r="E61" s="44" t="s">
        <v>1038</v>
      </c>
      <c r="F61" s="84" t="str">
        <f>CONCATENATE(Table1[[#This Row],[Meter Name]]," - ",Table1[[#This Row],[Independent/Campus Meter]])</f>
        <v>55007452950 - 30578 Broad St - Campus Meter</v>
      </c>
    </row>
    <row r="62" spans="1:6" ht="15" thickBot="1" x14ac:dyDescent="0.35">
      <c r="A62" s="53" t="s">
        <v>592</v>
      </c>
      <c r="B62" s="44" t="s">
        <v>601</v>
      </c>
      <c r="C62" s="44" t="s">
        <v>601</v>
      </c>
      <c r="D62" s="45" t="s">
        <v>657</v>
      </c>
      <c r="E62" s="44" t="s">
        <v>1038</v>
      </c>
      <c r="F62" s="84" t="str">
        <f>CONCATENATE(Table1[[#This Row],[Meter Name]]," - ",Table1[[#This Row],[Independent/Campus Meter]])</f>
        <v>55007453404 - 30578 Broad St - Campus Meter</v>
      </c>
    </row>
    <row r="63" spans="1:6" ht="15" thickBot="1" x14ac:dyDescent="0.35">
      <c r="A63" s="53" t="s">
        <v>668</v>
      </c>
      <c r="B63" s="44" t="s">
        <v>601</v>
      </c>
      <c r="C63" s="44" t="s">
        <v>601</v>
      </c>
      <c r="D63" s="45" t="s">
        <v>669</v>
      </c>
      <c r="E63" s="44" t="s">
        <v>1038</v>
      </c>
      <c r="F63" s="84" t="str">
        <f>CONCATENATE(Table1[[#This Row],[Meter Name]]," - ",Table1[[#This Row],[Independent/Campus Meter]])</f>
        <v>55009341805 - Tom Nichols Rd Apt Temp - Campus Meter</v>
      </c>
    </row>
    <row r="64" spans="1:6" ht="15" thickBot="1" x14ac:dyDescent="0.35">
      <c r="A64" s="53" t="s">
        <v>594</v>
      </c>
      <c r="B64" s="44" t="s">
        <v>601</v>
      </c>
      <c r="C64" s="44" t="s">
        <v>601</v>
      </c>
      <c r="D64" s="45" t="s">
        <v>659</v>
      </c>
      <c r="E64" s="44" t="s">
        <v>1038</v>
      </c>
      <c r="F64" s="84" t="str">
        <f>CONCATENATE(Table1[[#This Row],[Meter Name]]," - ",Table1[[#This Row],[Independent/Campus Meter]])</f>
        <v>55009362223 - College Backbone Rd - Campus Meter</v>
      </c>
    </row>
    <row r="65" spans="1:6" ht="15" thickBot="1" x14ac:dyDescent="0.35">
      <c r="A65" s="57" t="s">
        <v>666</v>
      </c>
      <c r="B65" s="136" t="s">
        <v>601</v>
      </c>
      <c r="C65" s="136" t="s">
        <v>601</v>
      </c>
      <c r="D65" s="137" t="s">
        <v>667</v>
      </c>
      <c r="E65" s="44" t="s">
        <v>1038</v>
      </c>
      <c r="F65" s="138" t="str">
        <f>CONCATENATE(Table1[[#This Row],[Meter Name]]," - ",Table1[[#This Row],[Independent/Campus Meter]])</f>
        <v>55011723693 - Hytche Blvd Kiosk - Campus Meter</v>
      </c>
    </row>
    <row r="66" spans="1:6" ht="15" thickBot="1" x14ac:dyDescent="0.35">
      <c r="A66" s="57" t="s">
        <v>598</v>
      </c>
      <c r="B66" s="136" t="s">
        <v>602</v>
      </c>
      <c r="C66" s="136" t="s">
        <v>603</v>
      </c>
      <c r="D66" s="137" t="s">
        <v>663</v>
      </c>
      <c r="E66" s="44" t="s">
        <v>1038</v>
      </c>
      <c r="F66" s="138" t="str">
        <f>CONCATENATE(Table1[[#This Row],[Meter Name]]," - ",Table1[[#This Row],[Independent/Campus Meter]])</f>
        <v>665298500 - GARAGE/MARKSMAN FARM - Campus Meter</v>
      </c>
    </row>
    <row r="67" spans="1:6" ht="15" thickBot="1" x14ac:dyDescent="0.35">
      <c r="A67" s="57" t="s">
        <v>599</v>
      </c>
      <c r="B67" s="136" t="s">
        <v>602</v>
      </c>
      <c r="C67" s="136" t="s">
        <v>603</v>
      </c>
      <c r="D67" s="137" t="s">
        <v>664</v>
      </c>
      <c r="E67" s="44" t="s">
        <v>1038</v>
      </c>
      <c r="F67" s="138" t="str">
        <f>CONCATENATE(Table1[[#This Row],[Meter Name]]," - ",Table1[[#This Row],[Independent/Campus Meter]])</f>
        <v>665298600 - HOUSE 12116 BACKBONE RD. - Campus Meter</v>
      </c>
    </row>
    <row r="68" spans="1:6" ht="15" thickBot="1" x14ac:dyDescent="0.35">
      <c r="A68" s="57" t="s">
        <v>600</v>
      </c>
      <c r="B68" s="136" t="s">
        <v>602</v>
      </c>
      <c r="C68" s="136" t="s">
        <v>603</v>
      </c>
      <c r="D68" s="137" t="s">
        <v>665</v>
      </c>
      <c r="E68" s="44" t="s">
        <v>1038</v>
      </c>
      <c r="F68" s="138" t="str">
        <f>CONCATENATE(Table1[[#This Row],[Meter Name]]," - ",Table1[[#This Row],[Independent/Campus Meter]])</f>
        <v>665298800 - BACKBONE RD. IRRIGATION PUMP - Campus Meter</v>
      </c>
    </row>
    <row r="69" spans="1:6" ht="15" thickBot="1" x14ac:dyDescent="0.35">
      <c r="A69" s="57" t="s">
        <v>596</v>
      </c>
      <c r="B69" s="136" t="s">
        <v>602</v>
      </c>
      <c r="C69" s="136" t="s">
        <v>603</v>
      </c>
      <c r="D69" s="137" t="s">
        <v>661</v>
      </c>
      <c r="E69" s="44" t="s">
        <v>1038</v>
      </c>
      <c r="F69" s="138" t="str">
        <f>CONCATENATE(Table1[[#This Row],[Meter Name]]," - ",Table1[[#This Row],[Independent/Campus Meter]])</f>
        <v>990899300 - 11802 MARSH VIEW LN. - Campus Meter</v>
      </c>
    </row>
  </sheetData>
  <sortState xmlns:xlrd2="http://schemas.microsoft.com/office/spreadsheetml/2017/richdata2" ref="C3:H23">
    <sortCondition ref="D3:D23"/>
  </sortState>
  <dataValidations count="1">
    <dataValidation type="list" allowBlank="1" showInputMessage="1" showErrorMessage="1" sqref="E3:E69" xr:uid="{00000000-0002-0000-0200-000000000000}">
      <formula1>"Independent Meter, Campus Meter"</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FF0000"/>
  </sheetPr>
  <dimension ref="A1:F22"/>
  <sheetViews>
    <sheetView zoomScale="98" zoomScaleNormal="98" workbookViewId="0">
      <selection activeCell="F4" sqref="F4"/>
    </sheetView>
  </sheetViews>
  <sheetFormatPr defaultRowHeight="14.4" x14ac:dyDescent="0.3"/>
  <cols>
    <col min="1" max="1" width="36.5546875" style="12" bestFit="1" customWidth="1"/>
    <col min="2" max="2" width="26" style="12" customWidth="1"/>
    <col min="3" max="3" width="23.33203125" style="12" bestFit="1" customWidth="1"/>
    <col min="4" max="4" width="71.109375" style="48" customWidth="1"/>
    <col min="5" max="5" width="40.109375" style="12" customWidth="1"/>
    <col min="6" max="6" width="51.88671875" style="12" customWidth="1"/>
  </cols>
  <sheetData>
    <row r="1" spans="1:6" x14ac:dyDescent="0.3">
      <c r="A1" s="13" t="s">
        <v>235</v>
      </c>
    </row>
    <row r="2" spans="1:6" ht="15" thickBot="1" x14ac:dyDescent="0.35">
      <c r="A2" s="59" t="s">
        <v>232</v>
      </c>
      <c r="B2" s="60" t="s">
        <v>233</v>
      </c>
      <c r="C2" s="60" t="s">
        <v>234</v>
      </c>
      <c r="D2" s="61" t="s">
        <v>231</v>
      </c>
      <c r="E2" s="46" t="s">
        <v>503</v>
      </c>
      <c r="F2" s="62" t="s">
        <v>504</v>
      </c>
    </row>
    <row r="3" spans="1:6" ht="15" thickBot="1" x14ac:dyDescent="0.35">
      <c r="A3" s="58"/>
      <c r="B3" s="34"/>
      <c r="C3" s="34"/>
      <c r="D3" s="33"/>
      <c r="E3" s="44"/>
      <c r="F3" s="63" t="str">
        <f>CONCATENATE(Table2[[#This Row],[Meter Name]]," - ",Table2[[#This Row],[Independent/Campus Meter]])</f>
        <v xml:space="preserve"> - </v>
      </c>
    </row>
    <row r="4" spans="1:6" ht="15" thickBot="1" x14ac:dyDescent="0.35">
      <c r="A4" s="58"/>
      <c r="B4" s="34"/>
      <c r="C4" s="34"/>
      <c r="D4" s="33"/>
      <c r="E4" s="44"/>
      <c r="F4" s="63" t="str">
        <f>CONCATENATE(Table2[[#This Row],[Meter Name]]," - ",Table2[[#This Row],[Independent/Campus Meter]])</f>
        <v xml:space="preserve"> - </v>
      </c>
    </row>
    <row r="5" spans="1:6" ht="15" thickBot="1" x14ac:dyDescent="0.35">
      <c r="A5" s="58"/>
      <c r="B5" s="34"/>
      <c r="C5" s="34"/>
      <c r="D5" s="33"/>
      <c r="E5" s="44"/>
      <c r="F5" s="63" t="str">
        <f>CONCATENATE(Table2[[#This Row],[Meter Name]]," - ",Table2[[#This Row],[Independent/Campus Meter]])</f>
        <v xml:space="preserve"> - </v>
      </c>
    </row>
    <row r="6" spans="1:6" ht="15" thickBot="1" x14ac:dyDescent="0.35">
      <c r="A6" s="58"/>
      <c r="B6" s="34"/>
      <c r="C6" s="34"/>
      <c r="D6" s="33"/>
      <c r="E6" s="44"/>
      <c r="F6" s="63" t="str">
        <f>CONCATENATE(Table2[[#This Row],[Meter Name]]," - ",Table2[[#This Row],[Independent/Campus Meter]])</f>
        <v xml:space="preserve"> - </v>
      </c>
    </row>
    <row r="7" spans="1:6" ht="15" thickBot="1" x14ac:dyDescent="0.35">
      <c r="A7" s="58"/>
      <c r="B7" s="34"/>
      <c r="C7" s="34"/>
      <c r="D7" s="33"/>
      <c r="E7" s="44"/>
      <c r="F7" s="63" t="str">
        <f>CONCATENATE(Table2[[#This Row],[Meter Name]]," - ",Table2[[#This Row],[Independent/Campus Meter]])</f>
        <v xml:space="preserve"> - </v>
      </c>
    </row>
    <row r="8" spans="1:6" x14ac:dyDescent="0.3">
      <c r="A8" s="49"/>
      <c r="B8" s="49"/>
      <c r="C8" s="49"/>
      <c r="D8" s="49"/>
      <c r="E8" s="43"/>
      <c r="F8" s="43"/>
    </row>
    <row r="9" spans="1:6" x14ac:dyDescent="0.3">
      <c r="A9" s="49"/>
      <c r="B9" s="49"/>
      <c r="C9" s="49"/>
      <c r="D9" s="49"/>
      <c r="E9" s="43"/>
      <c r="F9" s="43"/>
    </row>
    <row r="10" spans="1:6" x14ac:dyDescent="0.3">
      <c r="A10" s="49"/>
      <c r="B10" s="49"/>
      <c r="C10" s="49"/>
      <c r="D10" s="49"/>
      <c r="E10" s="43"/>
      <c r="F10" s="43"/>
    </row>
    <row r="11" spans="1:6" x14ac:dyDescent="0.3">
      <c r="A11" s="49"/>
      <c r="B11" s="49"/>
      <c r="C11" s="49"/>
      <c r="D11" s="49"/>
      <c r="E11" s="43"/>
      <c r="F11" s="43"/>
    </row>
    <row r="12" spans="1:6" x14ac:dyDescent="0.3">
      <c r="A12" s="49"/>
      <c r="B12" s="49"/>
      <c r="C12" s="49"/>
      <c r="D12" s="49"/>
      <c r="E12" s="43"/>
      <c r="F12" s="43"/>
    </row>
    <row r="13" spans="1:6" x14ac:dyDescent="0.3">
      <c r="A13" s="49"/>
      <c r="B13" s="49"/>
      <c r="C13" s="49"/>
      <c r="D13" s="49"/>
      <c r="E13" s="43"/>
      <c r="F13" s="43"/>
    </row>
    <row r="14" spans="1:6" x14ac:dyDescent="0.3">
      <c r="A14" s="49"/>
      <c r="B14" s="49"/>
      <c r="C14" s="49"/>
      <c r="D14" s="49"/>
      <c r="E14" s="43"/>
      <c r="F14" s="43"/>
    </row>
    <row r="15" spans="1:6" x14ac:dyDescent="0.3">
      <c r="A15" s="49"/>
      <c r="B15" s="49"/>
      <c r="C15" s="49"/>
      <c r="D15" s="49"/>
      <c r="E15" s="43"/>
      <c r="F15" s="43"/>
    </row>
    <row r="16" spans="1:6" x14ac:dyDescent="0.3">
      <c r="A16" s="49"/>
      <c r="B16" s="49"/>
      <c r="C16" s="49"/>
      <c r="D16" s="49"/>
      <c r="E16" s="43"/>
      <c r="F16" s="43"/>
    </row>
    <row r="17" spans="1:6" x14ac:dyDescent="0.3">
      <c r="A17" s="49"/>
      <c r="B17" s="49"/>
      <c r="C17" s="49"/>
      <c r="D17" s="49"/>
      <c r="E17" s="43"/>
      <c r="F17" s="43"/>
    </row>
    <row r="18" spans="1:6" x14ac:dyDescent="0.3">
      <c r="A18" s="49"/>
      <c r="B18" s="49"/>
      <c r="C18" s="49"/>
      <c r="D18" s="49"/>
      <c r="E18" s="43"/>
      <c r="F18" s="43"/>
    </row>
    <row r="19" spans="1:6" x14ac:dyDescent="0.3">
      <c r="A19" s="49"/>
      <c r="B19" s="49"/>
      <c r="C19" s="49"/>
      <c r="D19" s="49"/>
      <c r="E19" s="43"/>
      <c r="F19" s="43"/>
    </row>
    <row r="20" spans="1:6" x14ac:dyDescent="0.3">
      <c r="A20" s="49"/>
      <c r="B20" s="49"/>
      <c r="C20" s="49"/>
      <c r="D20" s="49"/>
      <c r="E20" s="43"/>
      <c r="F20" s="43"/>
    </row>
    <row r="21" spans="1:6" x14ac:dyDescent="0.3">
      <c r="A21" s="49"/>
      <c r="B21" s="49"/>
      <c r="C21" s="49"/>
      <c r="D21" s="49"/>
      <c r="E21" s="43"/>
      <c r="F21" s="43"/>
    </row>
    <row r="22" spans="1:6" x14ac:dyDescent="0.3">
      <c r="A22" s="49"/>
      <c r="B22" s="49"/>
      <c r="C22" s="49"/>
      <c r="D22" s="49"/>
      <c r="E22" s="43"/>
      <c r="F22" s="43"/>
    </row>
  </sheetData>
  <sortState xmlns:xlrd2="http://schemas.microsoft.com/office/spreadsheetml/2017/richdata2" ref="A3:G72">
    <sortCondition ref="D3:D72"/>
  </sortState>
  <dataValidations count="1">
    <dataValidation type="list" allowBlank="1" showInputMessage="1" showErrorMessage="1" sqref="E3:E7" xr:uid="{00000000-0002-0000-0300-000000000000}">
      <formula1>"Independent Meter, Campus Meter"</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FF0000"/>
    <pageSetUpPr fitToPage="1"/>
  </sheetPr>
  <dimension ref="A1:AR733"/>
  <sheetViews>
    <sheetView topLeftCell="M1" zoomScaleNormal="100" workbookViewId="0">
      <pane xSplit="2" ySplit="2" topLeftCell="Q72" activePane="bottomRight" state="frozen"/>
      <selection activeCell="M1" sqref="M1"/>
      <selection pane="topRight" activeCell="O1" sqref="O1"/>
      <selection pane="bottomLeft" activeCell="M3" sqref="M3"/>
      <selection pane="bottomRight" activeCell="Q13" sqref="Q13"/>
    </sheetView>
  </sheetViews>
  <sheetFormatPr defaultColWidth="23.109375" defaultRowHeight="14.4" x14ac:dyDescent="0.3"/>
  <cols>
    <col min="1" max="1" width="23.109375" style="2"/>
    <col min="2" max="2" width="23.109375" style="1"/>
    <col min="3" max="3" width="25.88671875" style="1" customWidth="1"/>
    <col min="4" max="4" width="34.88671875" style="2" customWidth="1"/>
    <col min="5" max="5" width="59.88671875" style="1" customWidth="1"/>
    <col min="6" max="6" width="23.109375" style="2"/>
    <col min="7" max="7" width="23.109375" style="1"/>
    <col min="8" max="8" width="23.109375" style="2"/>
    <col min="9" max="9" width="23.109375" style="1"/>
    <col min="10" max="10" width="38.6640625" style="2" bestFit="1" customWidth="1"/>
    <col min="11" max="11" width="53.88671875" style="1" customWidth="1"/>
    <col min="12" max="12" width="18.33203125" style="2" customWidth="1"/>
    <col min="13" max="13" width="58.6640625" style="1" customWidth="1"/>
    <col min="14" max="14" width="29.6640625" style="2" customWidth="1"/>
    <col min="15" max="15" width="24.6640625" style="10" customWidth="1"/>
    <col min="16" max="16" width="34" style="3" hidden="1" customWidth="1"/>
    <col min="17" max="17" width="56.33203125" style="2" customWidth="1"/>
    <col min="18" max="18" width="62.6640625" style="29" customWidth="1"/>
    <col min="19" max="19" width="48.109375" style="1" bestFit="1" customWidth="1"/>
    <col min="20" max="20" width="22.6640625" style="3" customWidth="1"/>
    <col min="21" max="21" width="36.109375" style="1" customWidth="1"/>
    <col min="22" max="22" width="23.109375" style="3"/>
    <col min="23" max="23" width="22.33203125" style="1" customWidth="1"/>
    <col min="24" max="24" width="40" style="3" bestFit="1" customWidth="1"/>
    <col min="25" max="25" width="16.44140625" style="4" customWidth="1"/>
    <col min="26" max="26" width="32.5546875" style="6" customWidth="1"/>
    <col min="27" max="27" width="16.44140625" style="1" customWidth="1"/>
    <col min="28" max="28" width="14.88671875" style="3" customWidth="1"/>
    <col min="29" max="29" width="14.88671875" style="1" customWidth="1"/>
    <col min="30" max="30" width="17" style="3" customWidth="1"/>
    <col min="31" max="31" width="20.88671875" style="4" customWidth="1"/>
    <col min="32" max="32" width="30.88671875" style="6" customWidth="1"/>
    <col min="33" max="33" width="22.109375" style="1" customWidth="1"/>
    <col min="34" max="34" width="17.44140625" style="40" customWidth="1"/>
    <col min="35" max="35" width="23.109375" style="41"/>
    <col min="36" max="38" width="23.109375" style="10"/>
    <col min="39" max="16384" width="23.109375" style="2"/>
  </cols>
  <sheetData>
    <row r="1" spans="1:38" s="8" customFormat="1" ht="59.25" customHeight="1" thickTop="1" thickBot="1" x14ac:dyDescent="0.3">
      <c r="A1" s="86" t="s">
        <v>8</v>
      </c>
      <c r="B1" s="87" t="s">
        <v>9</v>
      </c>
      <c r="C1" s="27" t="s">
        <v>10</v>
      </c>
      <c r="D1" s="27" t="s">
        <v>467</v>
      </c>
      <c r="E1" s="27" t="s">
        <v>11</v>
      </c>
      <c r="F1" s="27" t="s">
        <v>468</v>
      </c>
      <c r="G1" s="27" t="s">
        <v>469</v>
      </c>
      <c r="H1" s="27" t="s">
        <v>470</v>
      </c>
      <c r="I1" s="28" t="s">
        <v>471</v>
      </c>
      <c r="J1" s="28" t="s">
        <v>472</v>
      </c>
      <c r="K1" s="26" t="s">
        <v>12</v>
      </c>
      <c r="L1" s="26" t="s">
        <v>473</v>
      </c>
      <c r="M1" s="26" t="s">
        <v>5</v>
      </c>
      <c r="N1" s="26" t="s">
        <v>474</v>
      </c>
      <c r="O1" s="88" t="s">
        <v>494</v>
      </c>
      <c r="P1" s="89" t="s">
        <v>495</v>
      </c>
      <c r="Q1" s="90" t="s">
        <v>499</v>
      </c>
      <c r="R1" s="90" t="s">
        <v>500</v>
      </c>
      <c r="S1" s="26" t="s">
        <v>478</v>
      </c>
      <c r="T1" s="26" t="s">
        <v>479</v>
      </c>
      <c r="U1" s="26" t="s">
        <v>480</v>
      </c>
      <c r="V1" s="26" t="s">
        <v>481</v>
      </c>
      <c r="W1" s="26" t="s">
        <v>482</v>
      </c>
      <c r="X1" s="26" t="s">
        <v>483</v>
      </c>
      <c r="Y1" s="26" t="s">
        <v>13</v>
      </c>
      <c r="Z1" s="26" t="s">
        <v>484</v>
      </c>
      <c r="AA1" s="21" t="s">
        <v>225</v>
      </c>
      <c r="AB1" s="21" t="s">
        <v>485</v>
      </c>
      <c r="AC1" s="21" t="s">
        <v>486</v>
      </c>
      <c r="AD1" s="21" t="s">
        <v>487</v>
      </c>
      <c r="AE1" s="21" t="s">
        <v>488</v>
      </c>
      <c r="AF1" s="21" t="s">
        <v>489</v>
      </c>
      <c r="AG1" s="21" t="s">
        <v>490</v>
      </c>
      <c r="AH1" s="39" t="s">
        <v>491</v>
      </c>
      <c r="AI1" s="85" t="s">
        <v>502</v>
      </c>
      <c r="AJ1" s="30"/>
      <c r="AK1" s="30"/>
      <c r="AL1" s="30"/>
    </row>
    <row r="2" spans="1:38" s="9" customFormat="1" ht="49.95" customHeight="1" x14ac:dyDescent="0.2">
      <c r="A2" s="91"/>
      <c r="B2" s="92"/>
      <c r="C2" s="92"/>
      <c r="D2" s="93" t="s">
        <v>475</v>
      </c>
      <c r="E2" s="92"/>
      <c r="F2" s="94"/>
      <c r="G2" s="92"/>
      <c r="H2" s="94"/>
      <c r="I2" s="92"/>
      <c r="J2" s="95" t="s">
        <v>476</v>
      </c>
      <c r="K2" s="92"/>
      <c r="L2" s="94" t="s">
        <v>475</v>
      </c>
      <c r="M2" s="96"/>
      <c r="N2" s="94"/>
      <c r="O2" s="97" t="s">
        <v>496</v>
      </c>
      <c r="P2" s="98" t="s">
        <v>477</v>
      </c>
      <c r="Q2" s="99" t="s">
        <v>498</v>
      </c>
      <c r="R2" s="99" t="s">
        <v>498</v>
      </c>
      <c r="S2" s="92"/>
      <c r="T2" s="94"/>
      <c r="U2" s="92"/>
      <c r="V2" s="94"/>
      <c r="W2" s="92"/>
      <c r="X2" s="100" t="s">
        <v>517</v>
      </c>
      <c r="Y2" s="101"/>
      <c r="Z2" s="102" t="s">
        <v>492</v>
      </c>
      <c r="AA2" s="92"/>
      <c r="AB2" s="94"/>
      <c r="AC2" s="92"/>
      <c r="AD2" s="94"/>
      <c r="AE2" s="101"/>
      <c r="AF2" s="102" t="s">
        <v>493</v>
      </c>
      <c r="AG2" s="92"/>
      <c r="AH2" s="103"/>
      <c r="AI2" s="104"/>
      <c r="AJ2" s="31"/>
      <c r="AK2" s="31"/>
      <c r="AL2" s="31"/>
    </row>
    <row r="3" spans="1:38" s="7" customFormat="1" thickBot="1" x14ac:dyDescent="0.3">
      <c r="A3" s="105"/>
      <c r="B3" s="106"/>
      <c r="C3" s="106"/>
      <c r="D3" s="107" t="s">
        <v>6</v>
      </c>
      <c r="E3" s="106"/>
      <c r="F3" s="108" t="s">
        <v>7</v>
      </c>
      <c r="G3" s="106"/>
      <c r="H3" s="108" t="s">
        <v>477</v>
      </c>
      <c r="I3" s="106"/>
      <c r="J3" s="107" t="s">
        <v>6</v>
      </c>
      <c r="K3" s="106"/>
      <c r="L3" s="108" t="s">
        <v>6</v>
      </c>
      <c r="M3" s="109"/>
      <c r="N3" s="108" t="s">
        <v>7</v>
      </c>
      <c r="O3" s="110" t="s">
        <v>497</v>
      </c>
      <c r="P3" s="111" t="s">
        <v>497</v>
      </c>
      <c r="Q3" s="112"/>
      <c r="R3" s="113"/>
      <c r="S3" s="106"/>
      <c r="T3" s="108" t="s">
        <v>6</v>
      </c>
      <c r="U3" s="106"/>
      <c r="V3" s="108" t="s">
        <v>6</v>
      </c>
      <c r="W3" s="106"/>
      <c r="X3" s="108" t="s">
        <v>14</v>
      </c>
      <c r="Y3" s="114"/>
      <c r="Z3" s="115" t="s">
        <v>14</v>
      </c>
      <c r="AA3" s="106"/>
      <c r="AB3" s="108" t="s">
        <v>15</v>
      </c>
      <c r="AC3" s="106"/>
      <c r="AD3" s="108" t="s">
        <v>477</v>
      </c>
      <c r="AE3" s="114"/>
      <c r="AF3" s="115" t="s">
        <v>14</v>
      </c>
      <c r="AG3" s="106"/>
      <c r="AH3" s="116" t="s">
        <v>477</v>
      </c>
      <c r="AI3" s="117"/>
      <c r="AJ3" s="24"/>
      <c r="AK3" s="24"/>
      <c r="AL3" s="24"/>
    </row>
    <row r="4" spans="1:38" ht="15" thickTop="1" x14ac:dyDescent="0.3">
      <c r="B4" s="1" t="s">
        <v>677</v>
      </c>
      <c r="C4" s="1" t="s">
        <v>678</v>
      </c>
      <c r="E4" s="1" t="s">
        <v>679</v>
      </c>
      <c r="G4" s="1" t="s">
        <v>17</v>
      </c>
      <c r="I4" s="1" t="s">
        <v>680</v>
      </c>
      <c r="N4" s="118"/>
      <c r="O4" s="120"/>
      <c r="P4" s="121"/>
      <c r="Q4" s="122"/>
      <c r="R4" s="123"/>
      <c r="T4" s="2"/>
      <c r="V4" s="2"/>
      <c r="X4" s="118"/>
      <c r="Y4" s="124"/>
      <c r="Z4" s="125"/>
      <c r="AF4" s="141"/>
      <c r="AG4" s="119"/>
      <c r="AH4" s="127"/>
      <c r="AI4" s="128"/>
    </row>
    <row r="5" spans="1:38" x14ac:dyDescent="0.3">
      <c r="B5" s="1" t="s">
        <v>681</v>
      </c>
      <c r="I5" s="1" t="s">
        <v>678</v>
      </c>
      <c r="K5" s="1" t="s">
        <v>682</v>
      </c>
      <c r="N5" s="118"/>
      <c r="O5" s="120"/>
      <c r="P5" s="121"/>
      <c r="Q5" s="122"/>
      <c r="R5" s="123"/>
      <c r="S5" s="1" t="s">
        <v>496</v>
      </c>
      <c r="T5" s="2"/>
      <c r="U5" s="1" t="s">
        <v>496</v>
      </c>
      <c r="V5" s="2"/>
      <c r="W5" s="1" t="s">
        <v>973</v>
      </c>
      <c r="X5" s="146"/>
      <c r="Y5" s="124"/>
      <c r="Z5" s="125"/>
      <c r="AH5" s="127"/>
      <c r="AI5" s="128"/>
    </row>
    <row r="6" spans="1:38" ht="18.75" customHeight="1" x14ac:dyDescent="0.3">
      <c r="B6" s="1" t="s">
        <v>683</v>
      </c>
      <c r="I6" s="1" t="s">
        <v>678</v>
      </c>
      <c r="K6" s="1" t="s">
        <v>684</v>
      </c>
      <c r="M6" s="1" t="s">
        <v>685</v>
      </c>
      <c r="N6" s="118" t="s">
        <v>1025</v>
      </c>
      <c r="O6" s="120" t="s">
        <v>1014</v>
      </c>
      <c r="P6" s="121"/>
      <c r="Q6" s="122" t="s">
        <v>1017</v>
      </c>
      <c r="R6" s="123"/>
      <c r="S6" s="1" t="s">
        <v>496</v>
      </c>
      <c r="T6" s="2"/>
      <c r="U6" s="1" t="s">
        <v>496</v>
      </c>
      <c r="V6" s="2"/>
      <c r="W6" s="1" t="s">
        <v>973</v>
      </c>
      <c r="X6" s="126" t="s">
        <v>1033</v>
      </c>
      <c r="Y6" s="124"/>
      <c r="Z6" s="125"/>
      <c r="AA6" s="1" t="s">
        <v>975</v>
      </c>
      <c r="AC6" s="1" t="s">
        <v>3</v>
      </c>
      <c r="AE6" s="4" t="s">
        <v>976</v>
      </c>
      <c r="AH6" s="127" t="s">
        <v>251</v>
      </c>
      <c r="AI6" s="128"/>
    </row>
    <row r="7" spans="1:38" ht="18.75" customHeight="1" x14ac:dyDescent="0.3">
      <c r="B7" s="1" t="s">
        <v>686</v>
      </c>
      <c r="I7" s="1" t="s">
        <v>678</v>
      </c>
      <c r="K7" s="1" t="s">
        <v>687</v>
      </c>
      <c r="M7" s="1" t="s">
        <v>688</v>
      </c>
      <c r="N7" s="118" t="s">
        <v>1026</v>
      </c>
      <c r="O7" s="120" t="s">
        <v>1014</v>
      </c>
      <c r="P7" s="121"/>
      <c r="Q7" s="122" t="s">
        <v>1017</v>
      </c>
      <c r="R7" s="123"/>
      <c r="S7" s="1" t="s">
        <v>496</v>
      </c>
      <c r="T7" s="2"/>
      <c r="U7" s="1" t="s">
        <v>496</v>
      </c>
      <c r="V7" s="2"/>
      <c r="W7" s="1" t="s">
        <v>973</v>
      </c>
      <c r="X7" s="126" t="s">
        <v>1033</v>
      </c>
      <c r="Y7" s="124"/>
      <c r="Z7" s="125" t="s">
        <v>1036</v>
      </c>
      <c r="AH7" s="127" t="s">
        <v>251</v>
      </c>
      <c r="AI7" s="128"/>
    </row>
    <row r="8" spans="1:38" x14ac:dyDescent="0.3">
      <c r="B8" s="1" t="s">
        <v>689</v>
      </c>
      <c r="I8" s="1" t="s">
        <v>678</v>
      </c>
      <c r="K8" s="1" t="s">
        <v>690</v>
      </c>
      <c r="M8" s="1" t="s">
        <v>691</v>
      </c>
      <c r="N8" s="118" t="s">
        <v>1000</v>
      </c>
      <c r="O8" s="120" t="s">
        <v>1014</v>
      </c>
      <c r="P8" s="121"/>
      <c r="Q8" s="122" t="s">
        <v>1017</v>
      </c>
      <c r="R8" s="123"/>
      <c r="S8" s="1" t="s">
        <v>496</v>
      </c>
      <c r="T8" s="2"/>
      <c r="U8" s="1" t="s">
        <v>496</v>
      </c>
      <c r="V8" s="2"/>
      <c r="W8" s="1" t="s">
        <v>973</v>
      </c>
      <c r="X8" s="126" t="s">
        <v>1033</v>
      </c>
      <c r="Y8" s="124"/>
      <c r="Z8" s="125"/>
      <c r="AA8" s="1" t="s">
        <v>977</v>
      </c>
      <c r="AC8" s="1" t="s">
        <v>3</v>
      </c>
      <c r="AE8" s="4" t="s">
        <v>976</v>
      </c>
      <c r="AH8" s="127" t="s">
        <v>251</v>
      </c>
      <c r="AI8" s="128"/>
    </row>
    <row r="9" spans="1:38" x14ac:dyDescent="0.3">
      <c r="B9" s="1" t="s">
        <v>692</v>
      </c>
      <c r="I9" s="1" t="s">
        <v>678</v>
      </c>
      <c r="K9" s="1" t="s">
        <v>693</v>
      </c>
      <c r="M9" s="1" t="s">
        <v>694</v>
      </c>
      <c r="N9" s="118"/>
      <c r="O9" s="120" t="s">
        <v>1014</v>
      </c>
      <c r="P9" s="121"/>
      <c r="Q9" s="122" t="s">
        <v>1017</v>
      </c>
      <c r="R9" s="123"/>
      <c r="S9" s="1" t="s">
        <v>496</v>
      </c>
      <c r="T9" s="2"/>
      <c r="U9" s="1" t="s">
        <v>496</v>
      </c>
      <c r="V9" s="2"/>
      <c r="W9" s="1" t="s">
        <v>973</v>
      </c>
      <c r="X9" s="126" t="s">
        <v>1033</v>
      </c>
      <c r="Y9" s="124"/>
      <c r="Z9" s="125"/>
      <c r="AH9" s="127" t="s">
        <v>251</v>
      </c>
      <c r="AI9" s="128"/>
    </row>
    <row r="10" spans="1:38" x14ac:dyDescent="0.3">
      <c r="B10" s="1" t="s">
        <v>695</v>
      </c>
      <c r="I10" s="1" t="s">
        <v>678</v>
      </c>
      <c r="K10" s="1" t="s">
        <v>696</v>
      </c>
      <c r="M10" s="1" t="s">
        <v>697</v>
      </c>
      <c r="N10" s="118"/>
      <c r="O10" s="120" t="s">
        <v>1014</v>
      </c>
      <c r="P10" s="121"/>
      <c r="Q10" s="144" t="s">
        <v>1020</v>
      </c>
      <c r="R10" s="123"/>
      <c r="S10" s="1" t="s">
        <v>496</v>
      </c>
      <c r="T10" s="2"/>
      <c r="U10" s="1" t="s">
        <v>496</v>
      </c>
      <c r="V10" s="2"/>
      <c r="W10" s="1" t="s">
        <v>973</v>
      </c>
      <c r="X10" s="126" t="s">
        <v>1033</v>
      </c>
      <c r="Y10" s="124"/>
      <c r="Z10" s="125"/>
      <c r="AH10" s="127" t="s">
        <v>251</v>
      </c>
      <c r="AI10" s="128"/>
    </row>
    <row r="11" spans="1:38" x14ac:dyDescent="0.3">
      <c r="B11" s="1" t="s">
        <v>698</v>
      </c>
      <c r="I11" s="1" t="s">
        <v>678</v>
      </c>
      <c r="K11" s="1" t="s">
        <v>699</v>
      </c>
      <c r="M11" s="1" t="s">
        <v>700</v>
      </c>
      <c r="N11" s="118"/>
      <c r="O11" s="120" t="s">
        <v>1014</v>
      </c>
      <c r="P11" s="121"/>
      <c r="Q11" s="122" t="s">
        <v>1017</v>
      </c>
      <c r="R11" s="123"/>
      <c r="S11" s="1" t="s">
        <v>496</v>
      </c>
      <c r="T11" s="2"/>
      <c r="U11" s="1" t="s">
        <v>496</v>
      </c>
      <c r="V11" s="2"/>
      <c r="W11" s="1" t="s">
        <v>973</v>
      </c>
      <c r="X11" s="126" t="s">
        <v>1033</v>
      </c>
      <c r="Y11" s="124"/>
      <c r="Z11" s="125"/>
      <c r="AH11" s="127" t="s">
        <v>251</v>
      </c>
      <c r="AI11" s="128"/>
    </row>
    <row r="12" spans="1:38" x14ac:dyDescent="0.3">
      <c r="B12" s="1" t="s">
        <v>701</v>
      </c>
      <c r="I12" s="1" t="s">
        <v>678</v>
      </c>
      <c r="K12" s="1" t="s">
        <v>702</v>
      </c>
      <c r="M12" s="1" t="s">
        <v>703</v>
      </c>
      <c r="N12" s="118" t="s">
        <v>1001</v>
      </c>
      <c r="O12" s="120" t="s">
        <v>1014</v>
      </c>
      <c r="P12" s="121"/>
      <c r="Q12" s="122" t="s">
        <v>1017</v>
      </c>
      <c r="R12" s="123"/>
      <c r="S12" s="1" t="s">
        <v>496</v>
      </c>
      <c r="T12" s="2"/>
      <c r="U12" s="1" t="s">
        <v>496</v>
      </c>
      <c r="V12" s="2"/>
      <c r="W12" s="1" t="s">
        <v>496</v>
      </c>
      <c r="X12" s="126" t="s">
        <v>1033</v>
      </c>
      <c r="Y12" s="124"/>
      <c r="Z12" s="125"/>
      <c r="AA12" s="1" t="s">
        <v>978</v>
      </c>
      <c r="AC12" s="1" t="s">
        <v>3</v>
      </c>
      <c r="AE12" s="4" t="s">
        <v>976</v>
      </c>
      <c r="AH12" s="127" t="s">
        <v>251</v>
      </c>
      <c r="AI12" s="128"/>
    </row>
    <row r="13" spans="1:38" x14ac:dyDescent="0.3">
      <c r="B13" s="1" t="s">
        <v>704</v>
      </c>
      <c r="I13" s="1" t="s">
        <v>678</v>
      </c>
      <c r="K13" s="1" t="s">
        <v>705</v>
      </c>
      <c r="M13" s="1" t="s">
        <v>706</v>
      </c>
      <c r="N13" s="118"/>
      <c r="O13" s="120" t="s">
        <v>1014</v>
      </c>
      <c r="P13" s="121"/>
      <c r="Q13" s="122"/>
      <c r="R13" s="123"/>
      <c r="S13" s="1" t="s">
        <v>496</v>
      </c>
      <c r="T13" s="2"/>
      <c r="U13" s="1" t="s">
        <v>496</v>
      </c>
      <c r="V13" s="2"/>
      <c r="W13" s="1" t="s">
        <v>496</v>
      </c>
      <c r="X13" s="126" t="s">
        <v>1033</v>
      </c>
      <c r="Y13" s="124"/>
      <c r="Z13" s="125"/>
      <c r="AH13" s="127" t="s">
        <v>251</v>
      </c>
      <c r="AI13" s="128"/>
    </row>
    <row r="14" spans="1:38" x14ac:dyDescent="0.3">
      <c r="B14" s="1" t="s">
        <v>707</v>
      </c>
      <c r="I14" s="1" t="s">
        <v>678</v>
      </c>
      <c r="K14" s="1" t="s">
        <v>708</v>
      </c>
      <c r="M14" s="1" t="s">
        <v>709</v>
      </c>
      <c r="N14" s="118"/>
      <c r="O14" s="120" t="s">
        <v>1014</v>
      </c>
      <c r="P14" s="121"/>
      <c r="Q14" s="122"/>
      <c r="R14" s="123"/>
      <c r="S14" s="1" t="s">
        <v>496</v>
      </c>
      <c r="T14" s="2"/>
      <c r="U14" s="1" t="s">
        <v>496</v>
      </c>
      <c r="V14" s="2"/>
      <c r="W14" s="1" t="s">
        <v>496</v>
      </c>
      <c r="X14" s="126" t="s">
        <v>1033</v>
      </c>
      <c r="Y14" s="124"/>
      <c r="Z14" s="125"/>
      <c r="AH14" s="127" t="s">
        <v>251</v>
      </c>
      <c r="AI14" s="128"/>
    </row>
    <row r="15" spans="1:38" x14ac:dyDescent="0.3">
      <c r="B15" s="1" t="s">
        <v>710</v>
      </c>
      <c r="I15" s="1" t="s">
        <v>678</v>
      </c>
      <c r="K15" s="1" t="s">
        <v>711</v>
      </c>
      <c r="M15" s="1" t="s">
        <v>712</v>
      </c>
      <c r="N15" s="118" t="s">
        <v>1002</v>
      </c>
      <c r="O15" s="120" t="s">
        <v>1014</v>
      </c>
      <c r="P15" s="121"/>
      <c r="Q15" s="122"/>
      <c r="R15" s="123"/>
      <c r="S15" s="1" t="s">
        <v>496</v>
      </c>
      <c r="T15" s="2"/>
      <c r="U15" s="1" t="s">
        <v>496</v>
      </c>
      <c r="V15" s="2"/>
      <c r="W15" s="1" t="s">
        <v>496</v>
      </c>
      <c r="X15" s="126" t="s">
        <v>1033</v>
      </c>
      <c r="Y15" s="124"/>
      <c r="Z15" s="125"/>
      <c r="AH15" s="127" t="s">
        <v>251</v>
      </c>
      <c r="AI15" s="128"/>
    </row>
    <row r="16" spans="1:38" x14ac:dyDescent="0.3">
      <c r="B16" s="1" t="s">
        <v>713</v>
      </c>
      <c r="I16" s="1" t="s">
        <v>678</v>
      </c>
      <c r="K16" s="1" t="s">
        <v>714</v>
      </c>
      <c r="M16" s="1" t="s">
        <v>715</v>
      </c>
      <c r="N16" s="118" t="s">
        <v>1002</v>
      </c>
      <c r="O16" s="120" t="s">
        <v>1014</v>
      </c>
      <c r="P16" s="121"/>
      <c r="Q16" s="122"/>
      <c r="R16" s="123"/>
      <c r="S16" s="1" t="s">
        <v>496</v>
      </c>
      <c r="T16" s="2"/>
      <c r="U16" s="1" t="s">
        <v>496</v>
      </c>
      <c r="V16" s="2"/>
      <c r="W16" s="1" t="s">
        <v>496</v>
      </c>
      <c r="X16" s="126" t="s">
        <v>1033</v>
      </c>
      <c r="Y16" s="124"/>
      <c r="Z16" s="125"/>
      <c r="AA16" s="1" t="s">
        <v>979</v>
      </c>
      <c r="AC16" s="1" t="s">
        <v>3</v>
      </c>
      <c r="AE16" s="4" t="s">
        <v>976</v>
      </c>
      <c r="AH16" s="127" t="s">
        <v>251</v>
      </c>
      <c r="AI16" s="128"/>
    </row>
    <row r="17" spans="2:35" x14ac:dyDescent="0.3">
      <c r="B17" s="1" t="s">
        <v>716</v>
      </c>
      <c r="I17" s="1" t="s">
        <v>678</v>
      </c>
      <c r="K17" s="1" t="s">
        <v>717</v>
      </c>
      <c r="M17" s="1" t="s">
        <v>718</v>
      </c>
      <c r="N17" s="118" t="s">
        <v>1037</v>
      </c>
      <c r="O17" s="120" t="s">
        <v>1014</v>
      </c>
      <c r="P17" s="121"/>
      <c r="Q17" s="122"/>
      <c r="R17" s="123"/>
      <c r="S17" s="1" t="s">
        <v>496</v>
      </c>
      <c r="T17" s="2"/>
      <c r="U17" s="1" t="s">
        <v>496</v>
      </c>
      <c r="V17" s="2"/>
      <c r="W17" s="1" t="s">
        <v>496</v>
      </c>
      <c r="X17" s="126" t="s">
        <v>1033</v>
      </c>
      <c r="Y17" s="124"/>
      <c r="Z17" s="125"/>
      <c r="AA17" s="1" t="s">
        <v>980</v>
      </c>
      <c r="AC17" s="1" t="s">
        <v>3</v>
      </c>
      <c r="AE17" s="4" t="s">
        <v>976</v>
      </c>
      <c r="AH17" s="127" t="s">
        <v>251</v>
      </c>
      <c r="AI17" s="128"/>
    </row>
    <row r="18" spans="2:35" x14ac:dyDescent="0.3">
      <c r="B18" s="1" t="s">
        <v>719</v>
      </c>
      <c r="I18" s="1" t="s">
        <v>678</v>
      </c>
      <c r="K18" s="1" t="s">
        <v>720</v>
      </c>
      <c r="M18" s="1" t="s">
        <v>721</v>
      </c>
      <c r="N18" s="118" t="s">
        <v>1003</v>
      </c>
      <c r="O18" s="120" t="s">
        <v>1014</v>
      </c>
      <c r="P18" s="121"/>
      <c r="Q18" s="122"/>
      <c r="R18" s="123"/>
      <c r="S18" s="1" t="s">
        <v>496</v>
      </c>
      <c r="T18" s="2"/>
      <c r="U18" s="1" t="s">
        <v>496</v>
      </c>
      <c r="V18" s="2"/>
      <c r="W18" s="1" t="s">
        <v>496</v>
      </c>
      <c r="X18" s="126" t="s">
        <v>1033</v>
      </c>
      <c r="Y18" s="124"/>
      <c r="Z18" s="125"/>
      <c r="AH18" s="127" t="s">
        <v>251</v>
      </c>
      <c r="AI18" s="128"/>
    </row>
    <row r="19" spans="2:35" x14ac:dyDescent="0.3">
      <c r="B19" s="1" t="s">
        <v>722</v>
      </c>
      <c r="I19" s="1" t="s">
        <v>678</v>
      </c>
      <c r="K19" s="1" t="s">
        <v>723</v>
      </c>
      <c r="N19" s="118"/>
      <c r="O19" s="120"/>
      <c r="P19" s="121"/>
      <c r="Q19" s="122"/>
      <c r="R19" s="123"/>
      <c r="S19" s="1" t="s">
        <v>496</v>
      </c>
      <c r="T19" s="2"/>
      <c r="U19" s="1" t="s">
        <v>496</v>
      </c>
      <c r="V19" s="2"/>
      <c r="W19" s="1" t="s">
        <v>973</v>
      </c>
      <c r="X19" s="126"/>
      <c r="Y19" s="124"/>
      <c r="Z19" s="125"/>
      <c r="AH19" s="127"/>
      <c r="AI19" s="128"/>
    </row>
    <row r="20" spans="2:35" x14ac:dyDescent="0.3">
      <c r="B20" s="1" t="s">
        <v>724</v>
      </c>
      <c r="I20" s="1" t="s">
        <v>678</v>
      </c>
      <c r="K20" s="1" t="s">
        <v>725</v>
      </c>
      <c r="M20" s="1" t="s">
        <v>726</v>
      </c>
      <c r="N20" s="118" t="s">
        <v>1002</v>
      </c>
      <c r="O20" s="120" t="s">
        <v>1014</v>
      </c>
      <c r="P20" s="121"/>
      <c r="Q20" s="122" t="s">
        <v>1041</v>
      </c>
      <c r="R20" s="123"/>
      <c r="S20" s="1" t="s">
        <v>496</v>
      </c>
      <c r="T20" s="2"/>
      <c r="U20" s="1" t="s">
        <v>496</v>
      </c>
      <c r="V20" s="2"/>
      <c r="W20" s="1" t="s">
        <v>973</v>
      </c>
      <c r="X20" s="126" t="s">
        <v>1032</v>
      </c>
      <c r="Y20" s="124"/>
      <c r="Z20" s="125"/>
      <c r="AA20" s="1" t="s">
        <v>981</v>
      </c>
      <c r="AC20" s="1" t="s">
        <v>3</v>
      </c>
      <c r="AE20" s="4" t="s">
        <v>976</v>
      </c>
      <c r="AH20" s="127" t="s">
        <v>291</v>
      </c>
      <c r="AI20" s="128"/>
    </row>
    <row r="21" spans="2:35" x14ac:dyDescent="0.3">
      <c r="B21" s="1" t="s">
        <v>727</v>
      </c>
      <c r="I21" s="1" t="s">
        <v>678</v>
      </c>
      <c r="K21" s="1" t="s">
        <v>728</v>
      </c>
      <c r="N21" s="118"/>
      <c r="O21" s="120"/>
      <c r="P21" s="121"/>
      <c r="Q21" s="122"/>
      <c r="R21" s="123"/>
      <c r="S21" s="1" t="s">
        <v>496</v>
      </c>
      <c r="T21" s="2"/>
      <c r="U21" s="1" t="s">
        <v>496</v>
      </c>
      <c r="V21" s="2"/>
      <c r="W21" s="1" t="s">
        <v>973</v>
      </c>
      <c r="X21" s="126"/>
      <c r="Y21" s="124"/>
      <c r="Z21" s="125"/>
      <c r="AH21" s="127"/>
      <c r="AI21" s="128"/>
    </row>
    <row r="22" spans="2:35" x14ac:dyDescent="0.3">
      <c r="B22" s="1" t="s">
        <v>729</v>
      </c>
      <c r="I22" s="1" t="s">
        <v>678</v>
      </c>
      <c r="K22" s="1" t="s">
        <v>730</v>
      </c>
      <c r="M22" s="1" t="s">
        <v>731</v>
      </c>
      <c r="N22" s="142" t="s">
        <v>1004</v>
      </c>
      <c r="O22" s="120" t="s">
        <v>1014</v>
      </c>
      <c r="P22" s="121"/>
      <c r="Q22" s="122"/>
      <c r="R22" s="123"/>
      <c r="S22" s="1" t="s">
        <v>496</v>
      </c>
      <c r="T22" s="2"/>
      <c r="U22" s="1" t="s">
        <v>496</v>
      </c>
      <c r="V22" s="2"/>
      <c r="W22" s="1" t="s">
        <v>973</v>
      </c>
      <c r="X22" s="126" t="s">
        <v>1033</v>
      </c>
      <c r="Y22" s="124"/>
      <c r="Z22" s="125"/>
      <c r="AH22" s="127" t="s">
        <v>301</v>
      </c>
      <c r="AI22" s="128"/>
    </row>
    <row r="23" spans="2:35" x14ac:dyDescent="0.3">
      <c r="B23" s="1" t="s">
        <v>732</v>
      </c>
      <c r="I23" s="1" t="s">
        <v>678</v>
      </c>
      <c r="K23" s="1" t="s">
        <v>733</v>
      </c>
      <c r="M23" s="1" t="s">
        <v>734</v>
      </c>
      <c r="N23" s="118" t="s">
        <v>1002</v>
      </c>
      <c r="O23" s="120" t="s">
        <v>1014</v>
      </c>
      <c r="P23" s="121"/>
      <c r="Q23" s="122"/>
      <c r="R23" s="123"/>
      <c r="S23" s="1" t="s">
        <v>496</v>
      </c>
      <c r="T23" s="2"/>
      <c r="U23" s="1" t="s">
        <v>496</v>
      </c>
      <c r="V23" s="2"/>
      <c r="W23" s="1" t="s">
        <v>496</v>
      </c>
      <c r="X23" s="126" t="s">
        <v>1033</v>
      </c>
      <c r="Y23" s="124"/>
      <c r="Z23" s="125"/>
      <c r="AA23" s="1" t="s">
        <v>982</v>
      </c>
      <c r="AC23" s="1" t="s">
        <v>3</v>
      </c>
      <c r="AE23" s="4" t="s">
        <v>976</v>
      </c>
      <c r="AH23" s="127" t="s">
        <v>251</v>
      </c>
      <c r="AI23" s="128"/>
    </row>
    <row r="24" spans="2:35" x14ac:dyDescent="0.3">
      <c r="B24" s="1" t="s">
        <v>735</v>
      </c>
      <c r="I24" s="1" t="s">
        <v>678</v>
      </c>
      <c r="K24" s="1" t="s">
        <v>736</v>
      </c>
      <c r="M24" s="1" t="s">
        <v>737</v>
      </c>
      <c r="N24" s="118" t="s">
        <v>1002</v>
      </c>
      <c r="O24" s="120" t="s">
        <v>1014</v>
      </c>
      <c r="P24" s="121"/>
      <c r="Q24" s="122" t="s">
        <v>1017</v>
      </c>
      <c r="R24" s="123"/>
      <c r="S24" s="1" t="s">
        <v>496</v>
      </c>
      <c r="T24" s="2"/>
      <c r="U24" s="1" t="s">
        <v>496</v>
      </c>
      <c r="V24" s="2"/>
      <c r="W24" s="1" t="s">
        <v>496</v>
      </c>
      <c r="X24" s="126" t="s">
        <v>1033</v>
      </c>
      <c r="Y24" s="124"/>
      <c r="Z24" s="125"/>
      <c r="AA24" s="1" t="s">
        <v>983</v>
      </c>
      <c r="AC24" s="1" t="s">
        <v>3</v>
      </c>
      <c r="AE24" s="4" t="s">
        <v>976</v>
      </c>
      <c r="AH24" s="127"/>
      <c r="AI24" s="128"/>
    </row>
    <row r="25" spans="2:35" x14ac:dyDescent="0.3">
      <c r="B25" s="1" t="s">
        <v>738</v>
      </c>
      <c r="I25" s="1" t="s">
        <v>678</v>
      </c>
      <c r="K25" s="1" t="s">
        <v>739</v>
      </c>
      <c r="M25" s="1" t="s">
        <v>740</v>
      </c>
      <c r="N25" s="142" t="s">
        <v>1004</v>
      </c>
      <c r="O25" s="120" t="s">
        <v>1014</v>
      </c>
      <c r="P25" s="121"/>
      <c r="Q25" s="122" t="s">
        <v>1017</v>
      </c>
      <c r="R25" s="123"/>
      <c r="S25" s="1" t="s">
        <v>496</v>
      </c>
      <c r="T25" s="2"/>
      <c r="U25" s="1" t="s">
        <v>496</v>
      </c>
      <c r="V25" s="2"/>
      <c r="W25" s="1" t="s">
        <v>496</v>
      </c>
      <c r="X25" s="126" t="s">
        <v>1033</v>
      </c>
      <c r="Y25" s="124"/>
      <c r="Z25" s="125"/>
      <c r="AA25" s="1" t="s">
        <v>983</v>
      </c>
      <c r="AC25" s="1" t="s">
        <v>3</v>
      </c>
      <c r="AE25" s="4" t="s">
        <v>976</v>
      </c>
      <c r="AH25" s="127"/>
      <c r="AI25" s="128"/>
    </row>
    <row r="26" spans="2:35" x14ac:dyDescent="0.3">
      <c r="B26" s="1" t="s">
        <v>741</v>
      </c>
      <c r="I26" s="1" t="s">
        <v>678</v>
      </c>
      <c r="K26" s="1" t="s">
        <v>742</v>
      </c>
      <c r="M26" s="1" t="s">
        <v>743</v>
      </c>
      <c r="N26" s="118" t="s">
        <v>1005</v>
      </c>
      <c r="O26" s="120" t="s">
        <v>1016</v>
      </c>
      <c r="P26" s="121"/>
      <c r="Q26" s="122"/>
      <c r="R26" s="123"/>
      <c r="S26" s="1" t="s">
        <v>496</v>
      </c>
      <c r="T26" s="2"/>
      <c r="U26" s="1" t="s">
        <v>496</v>
      </c>
      <c r="V26" s="2"/>
      <c r="W26" s="1" t="s">
        <v>973</v>
      </c>
      <c r="X26" s="126" t="s">
        <v>1033</v>
      </c>
      <c r="Y26" s="124"/>
      <c r="Z26" s="125"/>
      <c r="AH26" s="127"/>
      <c r="AI26" s="128"/>
    </row>
    <row r="27" spans="2:35" x14ac:dyDescent="0.3">
      <c r="B27" s="1" t="s">
        <v>744</v>
      </c>
      <c r="I27" s="1" t="s">
        <v>678</v>
      </c>
      <c r="K27" s="1" t="s">
        <v>745</v>
      </c>
      <c r="N27" s="118"/>
      <c r="O27" s="120"/>
      <c r="P27" s="121"/>
      <c r="Q27" s="122"/>
      <c r="R27" s="123"/>
      <c r="S27" s="1" t="s">
        <v>496</v>
      </c>
      <c r="T27" s="2"/>
      <c r="U27" s="1" t="s">
        <v>496</v>
      </c>
      <c r="V27" s="2"/>
      <c r="W27" s="1" t="s">
        <v>973</v>
      </c>
      <c r="X27" s="126"/>
      <c r="Y27" s="124"/>
      <c r="Z27" s="125"/>
      <c r="AA27" s="1" t="s">
        <v>984</v>
      </c>
      <c r="AC27" s="1" t="s">
        <v>3</v>
      </c>
      <c r="AE27" s="4" t="s">
        <v>976</v>
      </c>
      <c r="AH27" s="127"/>
      <c r="AI27" s="128"/>
    </row>
    <row r="28" spans="2:35" x14ac:dyDescent="0.3">
      <c r="B28" s="1" t="s">
        <v>746</v>
      </c>
      <c r="I28" s="1" t="s">
        <v>678</v>
      </c>
      <c r="K28" s="1" t="s">
        <v>747</v>
      </c>
      <c r="M28" s="1" t="s">
        <v>748</v>
      </c>
      <c r="N28" s="118" t="s">
        <v>1006</v>
      </c>
      <c r="O28" s="120" t="s">
        <v>1014</v>
      </c>
      <c r="P28" s="121"/>
      <c r="Q28" s="122" t="s">
        <v>1017</v>
      </c>
      <c r="R28" s="123"/>
      <c r="S28" s="1" t="s">
        <v>496</v>
      </c>
      <c r="T28" s="2"/>
      <c r="U28" s="1" t="s">
        <v>496</v>
      </c>
      <c r="V28" s="2"/>
      <c r="W28" s="1" t="s">
        <v>496</v>
      </c>
      <c r="X28" s="126" t="s">
        <v>1033</v>
      </c>
      <c r="Y28" s="124"/>
      <c r="Z28" s="125"/>
      <c r="AA28" s="1" t="s">
        <v>985</v>
      </c>
      <c r="AC28" s="1" t="s">
        <v>3</v>
      </c>
      <c r="AE28" s="4" t="s">
        <v>976</v>
      </c>
      <c r="AH28" s="127"/>
      <c r="AI28" s="128"/>
    </row>
    <row r="29" spans="2:35" x14ac:dyDescent="0.3">
      <c r="B29" s="1" t="s">
        <v>749</v>
      </c>
      <c r="I29" s="1" t="s">
        <v>678</v>
      </c>
      <c r="K29" s="1" t="s">
        <v>750</v>
      </c>
      <c r="M29" s="1" t="s">
        <v>751</v>
      </c>
      <c r="N29" s="118" t="s">
        <v>1006</v>
      </c>
      <c r="O29" s="120" t="s">
        <v>1014</v>
      </c>
      <c r="P29" s="139"/>
      <c r="Q29" s="122" t="s">
        <v>1017</v>
      </c>
      <c r="R29" s="140"/>
      <c r="S29" s="1" t="s">
        <v>496</v>
      </c>
      <c r="T29" s="2"/>
      <c r="U29" s="1" t="s">
        <v>496</v>
      </c>
      <c r="V29" s="2"/>
      <c r="W29" s="1" t="s">
        <v>496</v>
      </c>
      <c r="X29" s="126" t="s">
        <v>1033</v>
      </c>
      <c r="Y29" s="124"/>
      <c r="Z29" s="125"/>
      <c r="AH29" s="127"/>
      <c r="AI29" s="128"/>
    </row>
    <row r="30" spans="2:35" x14ac:dyDescent="0.3">
      <c r="B30" s="1" t="s">
        <v>752</v>
      </c>
      <c r="I30" s="1" t="s">
        <v>678</v>
      </c>
      <c r="K30" s="1" t="s">
        <v>753</v>
      </c>
      <c r="M30" s="1" t="s">
        <v>754</v>
      </c>
      <c r="N30" s="118" t="s">
        <v>1007</v>
      </c>
      <c r="O30" s="120" t="s">
        <v>1014</v>
      </c>
      <c r="P30" s="139"/>
      <c r="Q30" s="122" t="s">
        <v>1018</v>
      </c>
      <c r="R30" s="140"/>
      <c r="S30" s="1" t="s">
        <v>496</v>
      </c>
      <c r="T30" s="2"/>
      <c r="U30" s="1" t="s">
        <v>496</v>
      </c>
      <c r="V30" s="2"/>
      <c r="W30" s="1" t="s">
        <v>973</v>
      </c>
      <c r="X30" s="126"/>
      <c r="Y30" s="124"/>
      <c r="Z30" s="125"/>
      <c r="AA30" s="1" t="s">
        <v>984</v>
      </c>
      <c r="AC30" s="1" t="s">
        <v>3</v>
      </c>
      <c r="AE30" s="4" t="s">
        <v>976</v>
      </c>
      <c r="AH30" s="127"/>
      <c r="AI30" s="128"/>
    </row>
    <row r="31" spans="2:35" x14ac:dyDescent="0.3">
      <c r="B31" s="1" t="s">
        <v>755</v>
      </c>
      <c r="I31" s="1" t="s">
        <v>678</v>
      </c>
      <c r="K31" s="1" t="s">
        <v>756</v>
      </c>
      <c r="M31" s="1" t="s">
        <v>757</v>
      </c>
      <c r="N31" s="118" t="s">
        <v>1002</v>
      </c>
      <c r="O31" s="120" t="s">
        <v>1014</v>
      </c>
      <c r="P31" s="139"/>
      <c r="Q31" s="122" t="s">
        <v>1017</v>
      </c>
      <c r="R31" s="140"/>
      <c r="S31" s="1" t="s">
        <v>496</v>
      </c>
      <c r="T31" s="2"/>
      <c r="U31" s="1" t="s">
        <v>496</v>
      </c>
      <c r="V31" s="2"/>
      <c r="W31" s="1" t="s">
        <v>496</v>
      </c>
      <c r="X31" s="126" t="s">
        <v>1033</v>
      </c>
      <c r="Y31" s="124"/>
      <c r="Z31" s="125"/>
      <c r="AH31" s="127"/>
      <c r="AI31" s="128"/>
    </row>
    <row r="32" spans="2:35" x14ac:dyDescent="0.3">
      <c r="B32" s="1" t="s">
        <v>758</v>
      </c>
      <c r="I32" s="1" t="s">
        <v>678</v>
      </c>
      <c r="K32" s="1" t="s">
        <v>759</v>
      </c>
      <c r="N32" s="118"/>
      <c r="O32" s="120"/>
      <c r="P32" s="139"/>
      <c r="Q32" s="122"/>
      <c r="R32" s="140"/>
      <c r="S32" s="1" t="s">
        <v>496</v>
      </c>
      <c r="T32" s="2"/>
      <c r="U32" s="1" t="s">
        <v>496</v>
      </c>
      <c r="V32" s="2"/>
      <c r="W32" s="1" t="s">
        <v>496</v>
      </c>
      <c r="X32" s="126"/>
      <c r="Y32" s="124"/>
      <c r="Z32" s="125"/>
      <c r="AA32" s="1" t="s">
        <v>977</v>
      </c>
      <c r="AC32" s="1" t="s">
        <v>3</v>
      </c>
      <c r="AE32" s="4" t="s">
        <v>976</v>
      </c>
      <c r="AH32" s="127"/>
      <c r="AI32" s="128"/>
    </row>
    <row r="33" spans="2:35" x14ac:dyDescent="0.3">
      <c r="B33" s="1" t="s">
        <v>760</v>
      </c>
      <c r="I33" s="1" t="s">
        <v>678</v>
      </c>
      <c r="K33" s="1" t="s">
        <v>761</v>
      </c>
      <c r="M33" s="1" t="s">
        <v>762</v>
      </c>
      <c r="N33" s="118" t="s">
        <v>1002</v>
      </c>
      <c r="O33" s="120" t="s">
        <v>1014</v>
      </c>
      <c r="P33" s="139"/>
      <c r="Q33" s="122" t="s">
        <v>1019</v>
      </c>
      <c r="R33" s="140"/>
      <c r="S33" s="1" t="s">
        <v>496</v>
      </c>
      <c r="T33" s="2"/>
      <c r="U33" s="1" t="s">
        <v>496</v>
      </c>
      <c r="V33" s="2"/>
      <c r="W33" s="1" t="s">
        <v>496</v>
      </c>
      <c r="X33" s="126" t="s">
        <v>1033</v>
      </c>
      <c r="Y33" s="124"/>
      <c r="Z33" s="125"/>
      <c r="AA33" s="1" t="s">
        <v>986</v>
      </c>
      <c r="AC33" s="1" t="s">
        <v>3</v>
      </c>
      <c r="AE33" s="4" t="s">
        <v>976</v>
      </c>
      <c r="AH33" s="127"/>
      <c r="AI33" s="128"/>
    </row>
    <row r="34" spans="2:35" x14ac:dyDescent="0.3">
      <c r="B34" s="1" t="s">
        <v>763</v>
      </c>
      <c r="I34" s="1" t="s">
        <v>764</v>
      </c>
      <c r="K34" s="1" t="s">
        <v>765</v>
      </c>
      <c r="M34" s="1" t="s">
        <v>766</v>
      </c>
      <c r="N34" s="118" t="s">
        <v>1008</v>
      </c>
      <c r="O34" s="120" t="s">
        <v>1014</v>
      </c>
      <c r="P34" s="139"/>
      <c r="Q34" s="122" t="s">
        <v>1028</v>
      </c>
      <c r="R34" s="140"/>
      <c r="S34" s="1" t="s">
        <v>496</v>
      </c>
      <c r="T34" s="2"/>
      <c r="U34" s="1" t="s">
        <v>496</v>
      </c>
      <c r="V34" s="2"/>
      <c r="W34" s="1" t="s">
        <v>973</v>
      </c>
      <c r="X34" s="126" t="s">
        <v>1032</v>
      </c>
      <c r="Y34" s="124"/>
      <c r="Z34" s="125"/>
      <c r="AH34" s="127"/>
      <c r="AI34" s="128"/>
    </row>
    <row r="35" spans="2:35" x14ac:dyDescent="0.3">
      <c r="B35" s="1" t="s">
        <v>767</v>
      </c>
      <c r="I35" s="1" t="s">
        <v>678</v>
      </c>
      <c r="K35" s="1" t="s">
        <v>764</v>
      </c>
      <c r="N35" s="118"/>
      <c r="O35" s="120"/>
      <c r="P35" s="139"/>
      <c r="Q35" s="122"/>
      <c r="R35" s="140"/>
      <c r="S35" s="1" t="s">
        <v>496</v>
      </c>
      <c r="T35" s="2"/>
      <c r="U35" s="1" t="s">
        <v>496</v>
      </c>
      <c r="V35" s="2"/>
      <c r="W35" s="1" t="s">
        <v>496</v>
      </c>
      <c r="X35" s="126"/>
      <c r="Y35" s="124"/>
      <c r="Z35" s="125"/>
      <c r="AA35" s="1" t="s">
        <v>987</v>
      </c>
      <c r="AC35" s="1" t="s">
        <v>3</v>
      </c>
      <c r="AE35" s="4" t="s">
        <v>976</v>
      </c>
      <c r="AH35" s="127"/>
      <c r="AI35" s="128"/>
    </row>
    <row r="36" spans="2:35" x14ac:dyDescent="0.3">
      <c r="B36" s="1" t="s">
        <v>768</v>
      </c>
      <c r="I36" s="1" t="s">
        <v>764</v>
      </c>
      <c r="K36" s="1" t="s">
        <v>769</v>
      </c>
      <c r="M36" s="1" t="s">
        <v>770</v>
      </c>
      <c r="N36" s="118" t="s">
        <v>1002</v>
      </c>
      <c r="O36" s="120" t="s">
        <v>1014</v>
      </c>
      <c r="P36" s="139"/>
      <c r="Q36" s="122" t="s">
        <v>1039</v>
      </c>
      <c r="R36" s="140"/>
      <c r="S36" s="1" t="s">
        <v>496</v>
      </c>
      <c r="T36" s="2"/>
      <c r="U36" s="1" t="s">
        <v>496</v>
      </c>
      <c r="V36" s="2"/>
      <c r="W36" s="1" t="s">
        <v>973</v>
      </c>
      <c r="X36" s="126" t="s">
        <v>1032</v>
      </c>
      <c r="Y36" s="124"/>
      <c r="Z36" s="125"/>
      <c r="AA36" s="1" t="s">
        <v>1031</v>
      </c>
      <c r="AC36" s="1" t="s">
        <v>3</v>
      </c>
      <c r="AH36" s="127"/>
      <c r="AI36" s="128"/>
    </row>
    <row r="37" spans="2:35" x14ac:dyDescent="0.3">
      <c r="B37" s="1" t="s">
        <v>771</v>
      </c>
      <c r="I37" s="1" t="s">
        <v>764</v>
      </c>
      <c r="K37" s="1" t="s">
        <v>772</v>
      </c>
      <c r="M37" s="1" t="s">
        <v>773</v>
      </c>
      <c r="N37" s="118" t="s">
        <v>1002</v>
      </c>
      <c r="O37" s="120" t="s">
        <v>1014</v>
      </c>
      <c r="P37" s="139"/>
      <c r="Q37" s="122" t="s">
        <v>1045</v>
      </c>
      <c r="R37" s="140"/>
      <c r="S37" s="1" t="s">
        <v>496</v>
      </c>
      <c r="T37" s="2"/>
      <c r="U37" s="1" t="s">
        <v>496</v>
      </c>
      <c r="V37" s="2"/>
      <c r="W37" s="1" t="s">
        <v>973</v>
      </c>
      <c r="X37" s="126" t="s">
        <v>1032</v>
      </c>
      <c r="Y37" s="124"/>
      <c r="Z37" s="125"/>
      <c r="AA37" s="1" t="s">
        <v>1031</v>
      </c>
      <c r="AC37" s="1" t="s">
        <v>3</v>
      </c>
      <c r="AH37" s="127"/>
      <c r="AI37" s="128"/>
    </row>
    <row r="38" spans="2:35" x14ac:dyDescent="0.3">
      <c r="B38" s="1" t="s">
        <v>774</v>
      </c>
      <c r="I38" s="1" t="s">
        <v>764</v>
      </c>
      <c r="K38" s="1" t="s">
        <v>775</v>
      </c>
      <c r="M38" s="1" t="s">
        <v>776</v>
      </c>
      <c r="N38" s="118" t="s">
        <v>1002</v>
      </c>
      <c r="O38" s="120" t="s">
        <v>1014</v>
      </c>
      <c r="P38" s="139"/>
      <c r="Q38" s="122" t="s">
        <v>1072</v>
      </c>
      <c r="R38" s="140"/>
      <c r="S38" s="1" t="s">
        <v>496</v>
      </c>
      <c r="T38" s="2"/>
      <c r="U38" s="1" t="s">
        <v>496</v>
      </c>
      <c r="V38" s="2"/>
      <c r="W38" s="1" t="s">
        <v>973</v>
      </c>
      <c r="X38" s="126" t="s">
        <v>1032</v>
      </c>
      <c r="Y38" s="124"/>
      <c r="Z38" s="125"/>
      <c r="AA38" s="1" t="s">
        <v>1031</v>
      </c>
      <c r="AC38" s="1" t="s">
        <v>3</v>
      </c>
      <c r="AH38" s="127"/>
      <c r="AI38" s="128"/>
    </row>
    <row r="39" spans="2:35" x14ac:dyDescent="0.3">
      <c r="B39" s="1" t="s">
        <v>777</v>
      </c>
      <c r="I39" s="1" t="s">
        <v>764</v>
      </c>
      <c r="K39" s="1" t="s">
        <v>778</v>
      </c>
      <c r="M39" s="1" t="s">
        <v>779</v>
      </c>
      <c r="N39" s="118" t="s">
        <v>1002</v>
      </c>
      <c r="O39" s="120" t="s">
        <v>1014</v>
      </c>
      <c r="P39" s="139"/>
      <c r="Q39" s="122" t="s">
        <v>1046</v>
      </c>
      <c r="R39" s="140"/>
      <c r="S39" s="1" t="s">
        <v>496</v>
      </c>
      <c r="T39" s="2"/>
      <c r="U39" s="1" t="s">
        <v>496</v>
      </c>
      <c r="V39" s="2"/>
      <c r="W39" s="1" t="s">
        <v>973</v>
      </c>
      <c r="X39" s="126" t="s">
        <v>1032</v>
      </c>
      <c r="Y39" s="124"/>
      <c r="Z39" s="125"/>
      <c r="AA39" s="1" t="s">
        <v>1031</v>
      </c>
      <c r="AC39" s="1" t="s">
        <v>3</v>
      </c>
      <c r="AE39" s="4">
        <v>37073</v>
      </c>
      <c r="AH39" s="127"/>
      <c r="AI39" s="128"/>
    </row>
    <row r="40" spans="2:35" x14ac:dyDescent="0.3">
      <c r="B40" s="1" t="s">
        <v>780</v>
      </c>
      <c r="I40" s="1" t="s">
        <v>764</v>
      </c>
      <c r="K40" s="1" t="s">
        <v>781</v>
      </c>
      <c r="M40" s="1" t="s">
        <v>782</v>
      </c>
      <c r="N40" s="118" t="s">
        <v>1002</v>
      </c>
      <c r="O40" s="120" t="s">
        <v>1014</v>
      </c>
      <c r="P40" s="139"/>
      <c r="Q40" s="122" t="s">
        <v>1053</v>
      </c>
      <c r="R40" s="140"/>
      <c r="S40" s="1" t="s">
        <v>496</v>
      </c>
      <c r="T40" s="2"/>
      <c r="U40" s="1" t="s">
        <v>496</v>
      </c>
      <c r="V40" s="2"/>
      <c r="W40" s="1" t="s">
        <v>974</v>
      </c>
      <c r="X40" s="126" t="s">
        <v>1032</v>
      </c>
      <c r="Y40" s="124"/>
      <c r="Z40" s="125"/>
      <c r="AA40" s="1" t="s">
        <v>1031</v>
      </c>
      <c r="AC40" s="1" t="s">
        <v>3</v>
      </c>
      <c r="AE40" s="4">
        <v>37073</v>
      </c>
      <c r="AH40" s="127"/>
      <c r="AI40" s="128"/>
    </row>
    <row r="41" spans="2:35" x14ac:dyDescent="0.3">
      <c r="B41" s="1" t="s">
        <v>783</v>
      </c>
      <c r="I41" s="1" t="s">
        <v>764</v>
      </c>
      <c r="K41" s="1" t="s">
        <v>784</v>
      </c>
      <c r="M41" s="1" t="s">
        <v>785</v>
      </c>
      <c r="N41" s="118" t="s">
        <v>1002</v>
      </c>
      <c r="O41" s="120" t="s">
        <v>1014</v>
      </c>
      <c r="P41" s="139"/>
      <c r="Q41" s="122" t="s">
        <v>1054</v>
      </c>
      <c r="R41" s="140"/>
      <c r="S41" s="1" t="s">
        <v>496</v>
      </c>
      <c r="T41" s="2"/>
      <c r="U41" s="1" t="s">
        <v>496</v>
      </c>
      <c r="V41" s="2"/>
      <c r="W41" s="1" t="s">
        <v>973</v>
      </c>
      <c r="X41" s="126" t="s">
        <v>1032</v>
      </c>
      <c r="Y41" s="124"/>
      <c r="Z41" s="125"/>
      <c r="AA41" s="1" t="s">
        <v>1031</v>
      </c>
      <c r="AC41" s="1" t="s">
        <v>3</v>
      </c>
      <c r="AE41" s="4">
        <v>37073</v>
      </c>
      <c r="AH41" s="127"/>
      <c r="AI41" s="128"/>
    </row>
    <row r="42" spans="2:35" x14ac:dyDescent="0.3">
      <c r="B42" s="1" t="s">
        <v>786</v>
      </c>
      <c r="I42" s="1" t="s">
        <v>764</v>
      </c>
      <c r="K42" s="1" t="s">
        <v>787</v>
      </c>
      <c r="M42" s="1" t="s">
        <v>788</v>
      </c>
      <c r="N42" s="118" t="s">
        <v>1002</v>
      </c>
      <c r="O42" s="120" t="s">
        <v>1014</v>
      </c>
      <c r="P42" s="139"/>
      <c r="Q42" s="122" t="s">
        <v>1055</v>
      </c>
      <c r="R42" s="140"/>
      <c r="S42" s="1" t="s">
        <v>496</v>
      </c>
      <c r="T42" s="2"/>
      <c r="U42" s="1" t="s">
        <v>496</v>
      </c>
      <c r="V42" s="2"/>
      <c r="W42" s="1" t="s">
        <v>973</v>
      </c>
      <c r="X42" s="126" t="s">
        <v>1032</v>
      </c>
      <c r="Y42" s="124"/>
      <c r="Z42" s="125"/>
      <c r="AA42" s="1" t="s">
        <v>1031</v>
      </c>
      <c r="AC42" s="1" t="s">
        <v>3</v>
      </c>
      <c r="AE42" s="4">
        <v>37073</v>
      </c>
      <c r="AH42" s="127"/>
      <c r="AI42" s="128"/>
    </row>
    <row r="43" spans="2:35" x14ac:dyDescent="0.3">
      <c r="B43" s="1" t="s">
        <v>789</v>
      </c>
      <c r="I43" s="1" t="s">
        <v>764</v>
      </c>
      <c r="K43" s="1" t="s">
        <v>790</v>
      </c>
      <c r="M43" s="1" t="s">
        <v>791</v>
      </c>
      <c r="N43" s="118" t="s">
        <v>1002</v>
      </c>
      <c r="O43" s="120" t="s">
        <v>1014</v>
      </c>
      <c r="P43" s="139"/>
      <c r="Q43" s="122" t="s">
        <v>1056</v>
      </c>
      <c r="R43" s="140"/>
      <c r="S43" s="1" t="s">
        <v>496</v>
      </c>
      <c r="T43" s="2"/>
      <c r="U43" s="1" t="s">
        <v>496</v>
      </c>
      <c r="V43" s="2"/>
      <c r="W43" s="1" t="s">
        <v>973</v>
      </c>
      <c r="X43" s="126" t="s">
        <v>1032</v>
      </c>
      <c r="Y43" s="124"/>
      <c r="Z43" s="125"/>
      <c r="AA43" s="1" t="s">
        <v>1031</v>
      </c>
      <c r="AC43" s="1" t="s">
        <v>3</v>
      </c>
      <c r="AE43" s="4">
        <v>37073</v>
      </c>
      <c r="AH43" s="127"/>
      <c r="AI43" s="128"/>
    </row>
    <row r="44" spans="2:35" x14ac:dyDescent="0.3">
      <c r="B44" s="1" t="s">
        <v>792</v>
      </c>
      <c r="I44" s="1" t="s">
        <v>764</v>
      </c>
      <c r="K44" s="1" t="s">
        <v>793</v>
      </c>
      <c r="M44" s="1" t="s">
        <v>794</v>
      </c>
      <c r="N44" s="118" t="s">
        <v>1002</v>
      </c>
      <c r="O44" s="120" t="s">
        <v>1014</v>
      </c>
      <c r="P44" s="139"/>
      <c r="Q44" s="122" t="s">
        <v>1074</v>
      </c>
      <c r="R44" s="140"/>
      <c r="S44" s="1" t="s">
        <v>496</v>
      </c>
      <c r="T44" s="2"/>
      <c r="U44" s="1" t="s">
        <v>496</v>
      </c>
      <c r="V44" s="2"/>
      <c r="W44" s="1" t="s">
        <v>973</v>
      </c>
      <c r="X44" s="126" t="s">
        <v>1032</v>
      </c>
      <c r="Y44" s="124"/>
      <c r="Z44" s="125"/>
      <c r="AA44" s="1" t="s">
        <v>1031</v>
      </c>
      <c r="AC44" s="1" t="s">
        <v>3</v>
      </c>
      <c r="AE44" s="4">
        <v>37073</v>
      </c>
      <c r="AH44" s="127"/>
      <c r="AI44" s="128"/>
    </row>
    <row r="45" spans="2:35" x14ac:dyDescent="0.3">
      <c r="B45" s="1" t="s">
        <v>795</v>
      </c>
      <c r="I45" s="1" t="s">
        <v>764</v>
      </c>
      <c r="K45" s="1" t="s">
        <v>796</v>
      </c>
      <c r="M45" s="1" t="s">
        <v>797</v>
      </c>
      <c r="N45" s="118" t="s">
        <v>1002</v>
      </c>
      <c r="O45" s="120" t="s">
        <v>1014</v>
      </c>
      <c r="P45" s="139"/>
      <c r="Q45" s="122" t="s">
        <v>1080</v>
      </c>
      <c r="R45" s="140"/>
      <c r="S45" s="1" t="s">
        <v>496</v>
      </c>
      <c r="T45" s="2"/>
      <c r="U45" s="1" t="s">
        <v>496</v>
      </c>
      <c r="V45" s="2"/>
      <c r="W45" s="1" t="s">
        <v>973</v>
      </c>
      <c r="X45" s="126" t="s">
        <v>1032</v>
      </c>
      <c r="Y45" s="124"/>
      <c r="Z45" s="125"/>
      <c r="AA45" s="1" t="s">
        <v>1031</v>
      </c>
      <c r="AC45" s="1" t="s">
        <v>3</v>
      </c>
      <c r="AE45" s="4">
        <v>37073</v>
      </c>
      <c r="AH45" s="127"/>
      <c r="AI45" s="128"/>
    </row>
    <row r="46" spans="2:35" x14ac:dyDescent="0.3">
      <c r="B46" s="1" t="s">
        <v>798</v>
      </c>
      <c r="I46" s="1" t="s">
        <v>764</v>
      </c>
      <c r="K46" s="1" t="s">
        <v>799</v>
      </c>
      <c r="M46" s="1" t="s">
        <v>800</v>
      </c>
      <c r="N46" s="118" t="s">
        <v>1002</v>
      </c>
      <c r="O46" s="120" t="s">
        <v>1014</v>
      </c>
      <c r="P46" s="139"/>
      <c r="Q46" s="122" t="s">
        <v>1079</v>
      </c>
      <c r="R46" s="140"/>
      <c r="S46" s="1" t="s">
        <v>496</v>
      </c>
      <c r="T46" s="2"/>
      <c r="U46" s="1" t="s">
        <v>496</v>
      </c>
      <c r="V46" s="2"/>
      <c r="W46" s="1" t="s">
        <v>973</v>
      </c>
      <c r="X46" s="126" t="s">
        <v>1032</v>
      </c>
      <c r="Y46" s="124"/>
      <c r="Z46" s="125"/>
      <c r="AA46" s="1" t="s">
        <v>1031</v>
      </c>
      <c r="AC46" s="1" t="s">
        <v>3</v>
      </c>
      <c r="AE46" s="4">
        <v>37073</v>
      </c>
      <c r="AH46" s="127"/>
      <c r="AI46" s="128"/>
    </row>
    <row r="47" spans="2:35" x14ac:dyDescent="0.3">
      <c r="B47" s="1" t="s">
        <v>801</v>
      </c>
      <c r="I47" s="1" t="s">
        <v>764</v>
      </c>
      <c r="K47" s="1" t="s">
        <v>802</v>
      </c>
      <c r="M47" s="1" t="s">
        <v>803</v>
      </c>
      <c r="N47" s="118" t="s">
        <v>1002</v>
      </c>
      <c r="O47" s="120" t="s">
        <v>1014</v>
      </c>
      <c r="P47" s="139"/>
      <c r="Q47" s="122" t="s">
        <v>1078</v>
      </c>
      <c r="R47" s="140"/>
      <c r="S47" s="1" t="s">
        <v>496</v>
      </c>
      <c r="T47" s="2"/>
      <c r="U47" s="1" t="s">
        <v>496</v>
      </c>
      <c r="V47" s="2"/>
      <c r="W47" s="1" t="s">
        <v>973</v>
      </c>
      <c r="X47" s="126" t="s">
        <v>1032</v>
      </c>
      <c r="Y47" s="124"/>
      <c r="Z47" s="125"/>
      <c r="AA47" s="1" t="s">
        <v>1031</v>
      </c>
      <c r="AC47" s="1" t="s">
        <v>3</v>
      </c>
      <c r="AE47" s="4">
        <v>37073</v>
      </c>
      <c r="AH47" s="127"/>
      <c r="AI47" s="128"/>
    </row>
    <row r="48" spans="2:35" x14ac:dyDescent="0.3">
      <c r="B48" s="1" t="s">
        <v>804</v>
      </c>
      <c r="I48" s="1" t="s">
        <v>764</v>
      </c>
      <c r="K48" s="1" t="s">
        <v>805</v>
      </c>
      <c r="M48" s="1" t="s">
        <v>806</v>
      </c>
      <c r="N48" s="118" t="s">
        <v>1002</v>
      </c>
      <c r="O48" s="120" t="s">
        <v>1014</v>
      </c>
      <c r="P48" s="139"/>
      <c r="Q48" s="122" t="s">
        <v>1077</v>
      </c>
      <c r="R48" s="140"/>
      <c r="S48" s="1" t="s">
        <v>496</v>
      </c>
      <c r="T48" s="2"/>
      <c r="U48" s="1" t="s">
        <v>496</v>
      </c>
      <c r="V48" s="2"/>
      <c r="W48" s="1" t="s">
        <v>973</v>
      </c>
      <c r="X48" s="126" t="s">
        <v>1032</v>
      </c>
      <c r="Y48" s="124"/>
      <c r="Z48" s="125"/>
      <c r="AA48" s="1" t="s">
        <v>1031</v>
      </c>
      <c r="AC48" s="1" t="s">
        <v>3</v>
      </c>
      <c r="AE48" s="4">
        <v>37073</v>
      </c>
      <c r="AH48" s="127"/>
      <c r="AI48" s="128"/>
    </row>
    <row r="49" spans="2:35" x14ac:dyDescent="0.3">
      <c r="B49" s="1" t="s">
        <v>807</v>
      </c>
      <c r="I49" s="1" t="s">
        <v>764</v>
      </c>
      <c r="K49" s="1" t="s">
        <v>808</v>
      </c>
      <c r="M49" s="1" t="s">
        <v>809</v>
      </c>
      <c r="N49" s="118" t="s">
        <v>1002</v>
      </c>
      <c r="O49" s="120" t="s">
        <v>1014</v>
      </c>
      <c r="P49" s="139"/>
      <c r="Q49" s="122" t="s">
        <v>1042</v>
      </c>
      <c r="R49" s="140"/>
      <c r="S49" s="1" t="s">
        <v>496</v>
      </c>
      <c r="T49" s="2"/>
      <c r="U49" s="1" t="s">
        <v>496</v>
      </c>
      <c r="V49" s="2"/>
      <c r="W49" s="1" t="s">
        <v>973</v>
      </c>
      <c r="X49" s="126" t="s">
        <v>1032</v>
      </c>
      <c r="Y49" s="124"/>
      <c r="Z49" s="125"/>
      <c r="AA49" s="1" t="s">
        <v>1031</v>
      </c>
      <c r="AC49" s="1" t="s">
        <v>3</v>
      </c>
      <c r="AE49" s="4">
        <v>37073</v>
      </c>
      <c r="AH49" s="127"/>
      <c r="AI49" s="128"/>
    </row>
    <row r="50" spans="2:35" x14ac:dyDescent="0.3">
      <c r="B50" s="1" t="s">
        <v>810</v>
      </c>
      <c r="I50" s="1" t="s">
        <v>764</v>
      </c>
      <c r="K50" s="1" t="s">
        <v>811</v>
      </c>
      <c r="M50" s="1" t="s">
        <v>812</v>
      </c>
      <c r="N50" s="118" t="s">
        <v>1002</v>
      </c>
      <c r="O50" s="120" t="s">
        <v>1014</v>
      </c>
      <c r="P50" s="139"/>
      <c r="Q50" s="122" t="s">
        <v>1076</v>
      </c>
      <c r="R50" s="140"/>
      <c r="S50" s="1" t="s">
        <v>496</v>
      </c>
      <c r="T50" s="2"/>
      <c r="U50" s="1" t="s">
        <v>496</v>
      </c>
      <c r="V50" s="2"/>
      <c r="W50" s="1" t="s">
        <v>496</v>
      </c>
      <c r="X50" s="126" t="s">
        <v>1032</v>
      </c>
      <c r="Y50" s="124"/>
      <c r="Z50" s="125"/>
      <c r="AA50" s="1" t="s">
        <v>1031</v>
      </c>
      <c r="AC50" s="1" t="s">
        <v>3</v>
      </c>
      <c r="AE50" s="4">
        <v>37073</v>
      </c>
      <c r="AH50" s="127"/>
      <c r="AI50" s="128"/>
    </row>
    <row r="51" spans="2:35" x14ac:dyDescent="0.3">
      <c r="B51" s="1" t="s">
        <v>813</v>
      </c>
      <c r="I51" s="1" t="s">
        <v>764</v>
      </c>
      <c r="K51" s="1" t="s">
        <v>814</v>
      </c>
      <c r="M51" s="1" t="s">
        <v>815</v>
      </c>
      <c r="N51" s="118" t="s">
        <v>1002</v>
      </c>
      <c r="O51" s="120" t="s">
        <v>1014</v>
      </c>
      <c r="P51" s="139"/>
      <c r="Q51" s="122" t="s">
        <v>1075</v>
      </c>
      <c r="R51" s="140"/>
      <c r="S51" s="1" t="s">
        <v>496</v>
      </c>
      <c r="T51" s="2"/>
      <c r="U51" s="1" t="s">
        <v>496</v>
      </c>
      <c r="V51" s="2"/>
      <c r="W51" s="1" t="s">
        <v>973</v>
      </c>
      <c r="X51" s="126" t="s">
        <v>1032</v>
      </c>
      <c r="Y51" s="124"/>
      <c r="Z51" s="125"/>
      <c r="AA51" s="1" t="s">
        <v>1031</v>
      </c>
      <c r="AC51" s="1" t="s">
        <v>3</v>
      </c>
      <c r="AE51" s="4">
        <v>37073</v>
      </c>
      <c r="AH51" s="127"/>
      <c r="AI51" s="128"/>
    </row>
    <row r="52" spans="2:35" x14ac:dyDescent="0.3">
      <c r="B52" s="1" t="s">
        <v>816</v>
      </c>
      <c r="I52" s="1" t="s">
        <v>764</v>
      </c>
      <c r="K52" s="1" t="s">
        <v>817</v>
      </c>
      <c r="M52" s="1" t="s">
        <v>818</v>
      </c>
      <c r="N52" s="118" t="s">
        <v>1002</v>
      </c>
      <c r="O52" s="120" t="s">
        <v>1014</v>
      </c>
      <c r="P52" s="139"/>
      <c r="Q52" s="122" t="s">
        <v>1040</v>
      </c>
      <c r="R52" s="140"/>
      <c r="S52" s="1" t="s">
        <v>496</v>
      </c>
      <c r="T52" s="2"/>
      <c r="U52" s="1" t="s">
        <v>496</v>
      </c>
      <c r="V52" s="2"/>
      <c r="W52" s="1" t="s">
        <v>973</v>
      </c>
      <c r="X52" s="126" t="s">
        <v>1032</v>
      </c>
      <c r="Y52" s="124"/>
      <c r="Z52" s="125"/>
      <c r="AA52" s="1" t="s">
        <v>1031</v>
      </c>
      <c r="AC52" s="1" t="s">
        <v>3</v>
      </c>
      <c r="AE52" s="4">
        <v>37073</v>
      </c>
      <c r="AH52" s="127"/>
      <c r="AI52" s="128"/>
    </row>
    <row r="53" spans="2:35" x14ac:dyDescent="0.3">
      <c r="B53" s="1" t="s">
        <v>819</v>
      </c>
      <c r="I53" s="1" t="s">
        <v>764</v>
      </c>
      <c r="K53" s="1" t="s">
        <v>820</v>
      </c>
      <c r="M53" s="1" t="s">
        <v>821</v>
      </c>
      <c r="N53" s="118" t="s">
        <v>1002</v>
      </c>
      <c r="O53" s="120" t="s">
        <v>1014</v>
      </c>
      <c r="P53" s="139"/>
      <c r="Q53" s="122" t="s">
        <v>1027</v>
      </c>
      <c r="R53" s="140"/>
      <c r="S53" s="1" t="s">
        <v>496</v>
      </c>
      <c r="T53" s="2"/>
      <c r="U53" s="1" t="s">
        <v>496</v>
      </c>
      <c r="V53" s="2"/>
      <c r="W53" s="1" t="s">
        <v>973</v>
      </c>
      <c r="X53" s="126" t="s">
        <v>1032</v>
      </c>
      <c r="Y53" s="124"/>
      <c r="Z53" s="125"/>
      <c r="AA53" s="1" t="s">
        <v>1031</v>
      </c>
      <c r="AC53" s="1" t="s">
        <v>3</v>
      </c>
      <c r="AE53" s="4">
        <v>37073</v>
      </c>
      <c r="AH53" s="127"/>
      <c r="AI53" s="128"/>
    </row>
    <row r="54" spans="2:35" x14ac:dyDescent="0.3">
      <c r="B54" s="1" t="s">
        <v>822</v>
      </c>
      <c r="I54" s="1" t="s">
        <v>764</v>
      </c>
      <c r="K54" s="1" t="s">
        <v>823</v>
      </c>
      <c r="M54" s="1" t="s">
        <v>824</v>
      </c>
      <c r="N54" s="118" t="s">
        <v>1002</v>
      </c>
      <c r="O54" s="120" t="s">
        <v>1014</v>
      </c>
      <c r="P54" s="139"/>
      <c r="Q54" s="122"/>
      <c r="R54" s="140"/>
      <c r="S54" s="1" t="s">
        <v>496</v>
      </c>
      <c r="T54" s="2"/>
      <c r="U54" s="1" t="s">
        <v>496</v>
      </c>
      <c r="V54" s="2"/>
      <c r="W54" s="1" t="s">
        <v>973</v>
      </c>
      <c r="X54" s="126" t="s">
        <v>1032</v>
      </c>
      <c r="Y54" s="124"/>
      <c r="Z54" s="125"/>
      <c r="AA54" s="1" t="s">
        <v>1031</v>
      </c>
      <c r="AC54" s="1" t="s">
        <v>3</v>
      </c>
      <c r="AE54" s="4">
        <v>37073</v>
      </c>
      <c r="AH54" s="127"/>
      <c r="AI54" s="128"/>
    </row>
    <row r="55" spans="2:35" x14ac:dyDescent="0.3">
      <c r="B55" s="1" t="s">
        <v>825</v>
      </c>
      <c r="I55" s="1" t="s">
        <v>764</v>
      </c>
      <c r="K55" s="1" t="s">
        <v>826</v>
      </c>
      <c r="M55" s="1" t="s">
        <v>827</v>
      </c>
      <c r="N55" s="118" t="s">
        <v>1002</v>
      </c>
      <c r="O55" s="120" t="s">
        <v>1014</v>
      </c>
      <c r="P55" s="139"/>
      <c r="Q55" s="122" t="s">
        <v>1051</v>
      </c>
      <c r="R55" s="140"/>
      <c r="S55" s="1" t="s">
        <v>496</v>
      </c>
      <c r="T55" s="2"/>
      <c r="U55" s="1" t="s">
        <v>496</v>
      </c>
      <c r="V55" s="2"/>
      <c r="W55" s="1" t="s">
        <v>973</v>
      </c>
      <c r="X55" s="126" t="s">
        <v>1032</v>
      </c>
      <c r="Y55" s="124"/>
      <c r="Z55" s="125"/>
      <c r="AA55" s="1" t="s">
        <v>1031</v>
      </c>
      <c r="AC55" s="1" t="s">
        <v>3</v>
      </c>
      <c r="AE55" s="4">
        <v>37073</v>
      </c>
      <c r="AH55" s="127"/>
      <c r="AI55" s="128"/>
    </row>
    <row r="56" spans="2:35" x14ac:dyDescent="0.3">
      <c r="B56" s="1" t="s">
        <v>828</v>
      </c>
      <c r="I56" s="1" t="s">
        <v>764</v>
      </c>
      <c r="K56" s="1" t="s">
        <v>829</v>
      </c>
      <c r="M56" s="1" t="s">
        <v>830</v>
      </c>
      <c r="N56" s="118" t="s">
        <v>1002</v>
      </c>
      <c r="O56" s="120" t="s">
        <v>1014</v>
      </c>
      <c r="P56" s="139"/>
      <c r="Q56" s="122" t="s">
        <v>1049</v>
      </c>
      <c r="R56" s="140"/>
      <c r="S56" s="1" t="s">
        <v>496</v>
      </c>
      <c r="T56" s="2"/>
      <c r="U56" s="1" t="s">
        <v>496</v>
      </c>
      <c r="V56" s="2"/>
      <c r="W56" s="1" t="s">
        <v>973</v>
      </c>
      <c r="X56" s="126" t="s">
        <v>1032</v>
      </c>
      <c r="Y56" s="124"/>
      <c r="Z56" s="125"/>
      <c r="AA56" s="1" t="s">
        <v>1031</v>
      </c>
      <c r="AC56" s="1" t="s">
        <v>3</v>
      </c>
      <c r="AE56" s="4">
        <v>37073</v>
      </c>
      <c r="AH56" s="127"/>
      <c r="AI56" s="128"/>
    </row>
    <row r="57" spans="2:35" x14ac:dyDescent="0.3">
      <c r="B57" s="1" t="s">
        <v>831</v>
      </c>
      <c r="I57" s="1" t="s">
        <v>764</v>
      </c>
      <c r="K57" s="1" t="s">
        <v>832</v>
      </c>
      <c r="M57" s="1" t="s">
        <v>833</v>
      </c>
      <c r="N57" s="118" t="s">
        <v>1002</v>
      </c>
      <c r="O57" s="120" t="s">
        <v>1014</v>
      </c>
      <c r="P57" s="139"/>
      <c r="Q57" s="122" t="s">
        <v>1057</v>
      </c>
      <c r="R57" s="140"/>
      <c r="S57" s="1" t="s">
        <v>496</v>
      </c>
      <c r="T57" s="2"/>
      <c r="U57" s="1" t="s">
        <v>496</v>
      </c>
      <c r="V57" s="2"/>
      <c r="W57" s="1" t="s">
        <v>973</v>
      </c>
      <c r="X57" s="126" t="s">
        <v>1032</v>
      </c>
      <c r="Y57" s="124"/>
      <c r="Z57" s="125"/>
      <c r="AA57" s="1" t="s">
        <v>1031</v>
      </c>
      <c r="AC57" s="1" t="s">
        <v>3</v>
      </c>
      <c r="AE57" s="4">
        <v>37073</v>
      </c>
      <c r="AH57" s="127"/>
      <c r="AI57" s="128"/>
    </row>
    <row r="58" spans="2:35" x14ac:dyDescent="0.3">
      <c r="B58" s="1" t="s">
        <v>834</v>
      </c>
      <c r="I58" s="1" t="s">
        <v>764</v>
      </c>
      <c r="K58" s="1" t="s">
        <v>835</v>
      </c>
      <c r="M58" s="1" t="s">
        <v>836</v>
      </c>
      <c r="N58" s="118" t="s">
        <v>1002</v>
      </c>
      <c r="O58" s="120" t="s">
        <v>1014</v>
      </c>
      <c r="P58" s="139"/>
      <c r="Q58" s="122" t="s">
        <v>1058</v>
      </c>
      <c r="R58" s="140"/>
      <c r="S58" s="1" t="s">
        <v>496</v>
      </c>
      <c r="T58" s="2"/>
      <c r="U58" s="1" t="s">
        <v>496</v>
      </c>
      <c r="V58" s="2"/>
      <c r="W58" s="1" t="s">
        <v>973</v>
      </c>
      <c r="X58" s="126" t="s">
        <v>1032</v>
      </c>
      <c r="Y58" s="124"/>
      <c r="Z58" s="125"/>
      <c r="AA58" s="1" t="s">
        <v>1031</v>
      </c>
      <c r="AC58" s="1" t="s">
        <v>3</v>
      </c>
      <c r="AE58" s="4">
        <v>37073</v>
      </c>
      <c r="AH58" s="127"/>
      <c r="AI58" s="128"/>
    </row>
    <row r="59" spans="2:35" x14ac:dyDescent="0.3">
      <c r="B59" s="1" t="s">
        <v>837</v>
      </c>
      <c r="I59" s="1" t="s">
        <v>764</v>
      </c>
      <c r="K59" s="1" t="s">
        <v>838</v>
      </c>
      <c r="M59" s="1" t="s">
        <v>839</v>
      </c>
      <c r="N59" s="118" t="s">
        <v>1002</v>
      </c>
      <c r="O59" s="120" t="s">
        <v>1014</v>
      </c>
      <c r="P59" s="139"/>
      <c r="Q59" s="122" t="s">
        <v>1065</v>
      </c>
      <c r="R59" s="140"/>
      <c r="S59" s="1" t="s">
        <v>496</v>
      </c>
      <c r="T59" s="2"/>
      <c r="U59" s="1" t="s">
        <v>496</v>
      </c>
      <c r="V59" s="2"/>
      <c r="W59" s="1" t="s">
        <v>973</v>
      </c>
      <c r="X59" s="126" t="s">
        <v>1033</v>
      </c>
      <c r="Y59" s="124"/>
      <c r="Z59" s="125"/>
      <c r="AA59" s="1" t="s">
        <v>1031</v>
      </c>
      <c r="AC59" s="1" t="s">
        <v>3</v>
      </c>
      <c r="AE59" s="4">
        <v>37073</v>
      </c>
      <c r="AH59" s="127"/>
      <c r="AI59" s="128"/>
    </row>
    <row r="60" spans="2:35" x14ac:dyDescent="0.3">
      <c r="B60" s="1" t="s">
        <v>840</v>
      </c>
      <c r="I60" s="1" t="s">
        <v>764</v>
      </c>
      <c r="K60" s="1" t="s">
        <v>841</v>
      </c>
      <c r="M60" s="1" t="s">
        <v>842</v>
      </c>
      <c r="N60" s="118" t="s">
        <v>1002</v>
      </c>
      <c r="O60" s="120" t="s">
        <v>1014</v>
      </c>
      <c r="P60" s="139"/>
      <c r="Q60" s="122" t="s">
        <v>1066</v>
      </c>
      <c r="R60" s="140"/>
      <c r="S60" s="1" t="s">
        <v>496</v>
      </c>
      <c r="T60" s="2"/>
      <c r="U60" s="1" t="s">
        <v>496</v>
      </c>
      <c r="V60" s="2"/>
      <c r="W60" s="1" t="s">
        <v>973</v>
      </c>
      <c r="X60" s="126" t="s">
        <v>1032</v>
      </c>
      <c r="Y60" s="124"/>
      <c r="Z60" s="125"/>
      <c r="AA60" s="1" t="s">
        <v>1031</v>
      </c>
      <c r="AC60" s="1" t="s">
        <v>3</v>
      </c>
      <c r="AE60" s="4">
        <v>37073</v>
      </c>
      <c r="AH60" s="127"/>
      <c r="AI60" s="128"/>
    </row>
    <row r="61" spans="2:35" x14ac:dyDescent="0.3">
      <c r="B61" s="1" t="s">
        <v>843</v>
      </c>
      <c r="I61" s="1" t="s">
        <v>764</v>
      </c>
      <c r="K61" s="1" t="s">
        <v>844</v>
      </c>
      <c r="M61" s="1" t="s">
        <v>845</v>
      </c>
      <c r="N61" s="118" t="s">
        <v>1002</v>
      </c>
      <c r="O61" s="120" t="s">
        <v>1014</v>
      </c>
      <c r="P61" s="139"/>
      <c r="Q61" s="122" t="s">
        <v>1069</v>
      </c>
      <c r="R61" s="140"/>
      <c r="S61" s="1" t="s">
        <v>496</v>
      </c>
      <c r="T61" s="2"/>
      <c r="U61" s="1" t="s">
        <v>496</v>
      </c>
      <c r="V61" s="2"/>
      <c r="W61" s="1" t="s">
        <v>973</v>
      </c>
      <c r="X61" s="126" t="s">
        <v>1032</v>
      </c>
      <c r="Y61" s="124"/>
      <c r="Z61" s="125"/>
      <c r="AA61" s="1" t="s">
        <v>1031</v>
      </c>
      <c r="AC61" s="1" t="s">
        <v>3</v>
      </c>
      <c r="AE61" s="4">
        <v>37073</v>
      </c>
      <c r="AH61" s="127"/>
      <c r="AI61" s="128"/>
    </row>
    <row r="62" spans="2:35" x14ac:dyDescent="0.3">
      <c r="B62" s="1" t="s">
        <v>846</v>
      </c>
      <c r="I62" s="1" t="s">
        <v>764</v>
      </c>
      <c r="K62" s="1" t="s">
        <v>847</v>
      </c>
      <c r="M62" s="1" t="s">
        <v>848</v>
      </c>
      <c r="N62" s="118" t="s">
        <v>1002</v>
      </c>
      <c r="O62" s="120" t="s">
        <v>1014</v>
      </c>
      <c r="P62" s="139"/>
      <c r="Q62" s="122" t="s">
        <v>1067</v>
      </c>
      <c r="R62" s="140"/>
      <c r="S62" s="1" t="s">
        <v>496</v>
      </c>
      <c r="T62" s="2"/>
      <c r="U62" s="1" t="s">
        <v>496</v>
      </c>
      <c r="V62" s="2"/>
      <c r="W62" s="1" t="s">
        <v>973</v>
      </c>
      <c r="X62" s="126" t="s">
        <v>1032</v>
      </c>
      <c r="Y62" s="124"/>
      <c r="Z62" s="125"/>
      <c r="AA62" s="1" t="s">
        <v>1031</v>
      </c>
      <c r="AC62" s="1" t="s">
        <v>3</v>
      </c>
      <c r="AE62" s="4">
        <v>37073</v>
      </c>
      <c r="AH62" s="127"/>
      <c r="AI62" s="128"/>
    </row>
    <row r="63" spans="2:35" x14ac:dyDescent="0.3">
      <c r="B63" s="1" t="s">
        <v>849</v>
      </c>
      <c r="I63" s="1" t="s">
        <v>764</v>
      </c>
      <c r="K63" s="1" t="s">
        <v>850</v>
      </c>
      <c r="M63" s="1" t="s">
        <v>851</v>
      </c>
      <c r="N63" s="118" t="s">
        <v>1002</v>
      </c>
      <c r="O63" s="120" t="s">
        <v>1014</v>
      </c>
      <c r="P63" s="139"/>
      <c r="Q63" s="122" t="s">
        <v>1068</v>
      </c>
      <c r="R63" s="140"/>
      <c r="S63" s="1" t="s">
        <v>496</v>
      </c>
      <c r="T63" s="2"/>
      <c r="U63" s="1" t="s">
        <v>496</v>
      </c>
      <c r="V63" s="2"/>
      <c r="W63" s="1" t="s">
        <v>973</v>
      </c>
      <c r="X63" s="126" t="s">
        <v>1032</v>
      </c>
      <c r="Y63" s="124"/>
      <c r="Z63" s="125"/>
      <c r="AA63" s="1" t="s">
        <v>1031</v>
      </c>
      <c r="AC63" s="1" t="s">
        <v>3</v>
      </c>
      <c r="AE63" s="4">
        <v>37073</v>
      </c>
      <c r="AH63" s="127"/>
      <c r="AI63" s="128"/>
    </row>
    <row r="64" spans="2:35" x14ac:dyDescent="0.3">
      <c r="B64" s="1" t="s">
        <v>852</v>
      </c>
      <c r="I64" s="1" t="s">
        <v>764</v>
      </c>
      <c r="K64" s="1" t="s">
        <v>853</v>
      </c>
      <c r="M64" s="1" t="s">
        <v>854</v>
      </c>
      <c r="N64" s="118" t="s">
        <v>1002</v>
      </c>
      <c r="O64" s="120" t="s">
        <v>1014</v>
      </c>
      <c r="P64" s="139"/>
      <c r="Q64" s="122" t="s">
        <v>1050</v>
      </c>
      <c r="R64" s="140"/>
      <c r="S64" s="1" t="s">
        <v>496</v>
      </c>
      <c r="T64" s="2"/>
      <c r="U64" s="1" t="s">
        <v>496</v>
      </c>
      <c r="V64" s="2"/>
      <c r="W64" s="1" t="s">
        <v>973</v>
      </c>
      <c r="X64" s="126" t="s">
        <v>1032</v>
      </c>
      <c r="Y64" s="124"/>
      <c r="Z64" s="125"/>
      <c r="AA64" s="1" t="s">
        <v>1031</v>
      </c>
      <c r="AC64" s="1" t="s">
        <v>3</v>
      </c>
      <c r="AE64" s="4">
        <v>37073</v>
      </c>
      <c r="AH64" s="127"/>
      <c r="AI64" s="128"/>
    </row>
    <row r="65" spans="2:35" x14ac:dyDescent="0.3">
      <c r="B65" s="1" t="s">
        <v>855</v>
      </c>
      <c r="I65" s="1" t="s">
        <v>764</v>
      </c>
      <c r="K65" s="1" t="s">
        <v>856</v>
      </c>
      <c r="M65" s="1" t="s">
        <v>857</v>
      </c>
      <c r="N65" s="118" t="s">
        <v>1002</v>
      </c>
      <c r="O65" s="120" t="s">
        <v>1014</v>
      </c>
      <c r="P65" s="139"/>
      <c r="Q65" s="122" t="s">
        <v>1049</v>
      </c>
      <c r="R65" s="140"/>
      <c r="S65" s="1" t="s">
        <v>496</v>
      </c>
      <c r="T65" s="2"/>
      <c r="U65" s="1" t="s">
        <v>496</v>
      </c>
      <c r="V65" s="2"/>
      <c r="W65" s="1" t="s">
        <v>973</v>
      </c>
      <c r="X65" s="126" t="s">
        <v>1032</v>
      </c>
      <c r="Y65" s="124"/>
      <c r="Z65" s="125"/>
      <c r="AA65" s="1" t="s">
        <v>1031</v>
      </c>
      <c r="AC65" s="1" t="s">
        <v>3</v>
      </c>
      <c r="AE65" s="4">
        <v>37073</v>
      </c>
      <c r="AH65" s="127"/>
      <c r="AI65" s="128"/>
    </row>
    <row r="66" spans="2:35" x14ac:dyDescent="0.3">
      <c r="B66" s="1" t="s">
        <v>858</v>
      </c>
      <c r="I66" s="1" t="s">
        <v>764</v>
      </c>
      <c r="K66" s="1" t="s">
        <v>859</v>
      </c>
      <c r="M66" s="1" t="s">
        <v>860</v>
      </c>
      <c r="N66" s="118" t="s">
        <v>1002</v>
      </c>
      <c r="O66" s="120" t="s">
        <v>1014</v>
      </c>
      <c r="P66" s="139"/>
      <c r="Q66" s="122" t="s">
        <v>1052</v>
      </c>
      <c r="R66" s="140"/>
      <c r="S66" s="1" t="s">
        <v>496</v>
      </c>
      <c r="T66" s="2"/>
      <c r="U66" s="1" t="s">
        <v>496</v>
      </c>
      <c r="V66" s="2"/>
      <c r="W66" s="1" t="s">
        <v>973</v>
      </c>
      <c r="X66" s="126" t="s">
        <v>1032</v>
      </c>
      <c r="Y66" s="124"/>
      <c r="Z66" s="125"/>
      <c r="AA66" s="1" t="s">
        <v>1031</v>
      </c>
      <c r="AC66" s="1" t="s">
        <v>3</v>
      </c>
      <c r="AE66" s="4">
        <v>37073</v>
      </c>
      <c r="AH66" s="127"/>
      <c r="AI66" s="128"/>
    </row>
    <row r="67" spans="2:35" x14ac:dyDescent="0.3">
      <c r="B67" s="1" t="s">
        <v>861</v>
      </c>
      <c r="I67" s="1" t="s">
        <v>764</v>
      </c>
      <c r="K67" s="1" t="s">
        <v>862</v>
      </c>
      <c r="M67" s="1" t="s">
        <v>863</v>
      </c>
      <c r="N67" s="118" t="s">
        <v>1002</v>
      </c>
      <c r="O67" s="120" t="s">
        <v>1014</v>
      </c>
      <c r="P67" s="139"/>
      <c r="Q67" s="122" t="s">
        <v>1030</v>
      </c>
      <c r="R67" s="140"/>
      <c r="S67" s="1" t="s">
        <v>496</v>
      </c>
      <c r="T67" s="2"/>
      <c r="U67" s="1" t="s">
        <v>496</v>
      </c>
      <c r="V67" s="2"/>
      <c r="W67" s="1" t="s">
        <v>973</v>
      </c>
      <c r="X67" s="126" t="s">
        <v>1032</v>
      </c>
      <c r="Y67" s="124"/>
      <c r="Z67" s="125"/>
      <c r="AA67" s="1" t="s">
        <v>1031</v>
      </c>
      <c r="AC67" s="1" t="s">
        <v>3</v>
      </c>
      <c r="AE67" s="4">
        <v>37073</v>
      </c>
      <c r="AH67" s="127"/>
      <c r="AI67" s="128"/>
    </row>
    <row r="68" spans="2:35" x14ac:dyDescent="0.3">
      <c r="B68" s="1" t="s">
        <v>864</v>
      </c>
      <c r="I68" s="1" t="s">
        <v>764</v>
      </c>
      <c r="K68" s="1" t="s">
        <v>865</v>
      </c>
      <c r="M68" s="1" t="s">
        <v>866</v>
      </c>
      <c r="N68" s="118" t="s">
        <v>1002</v>
      </c>
      <c r="O68" s="120" t="s">
        <v>1014</v>
      </c>
      <c r="P68" s="139"/>
      <c r="Q68" s="122" t="s">
        <v>1073</v>
      </c>
      <c r="R68" s="140"/>
      <c r="S68" s="1" t="s">
        <v>496</v>
      </c>
      <c r="T68" s="2"/>
      <c r="U68" s="1" t="s">
        <v>496</v>
      </c>
      <c r="V68" s="2"/>
      <c r="W68" s="1" t="s">
        <v>973</v>
      </c>
      <c r="X68" s="126" t="s">
        <v>1032</v>
      </c>
      <c r="Y68" s="124"/>
      <c r="Z68" s="125"/>
      <c r="AA68" s="1" t="s">
        <v>1031</v>
      </c>
      <c r="AC68" s="1" t="s">
        <v>3</v>
      </c>
      <c r="AE68" s="4">
        <v>37073</v>
      </c>
      <c r="AH68" s="127"/>
      <c r="AI68" s="128"/>
    </row>
    <row r="69" spans="2:35" x14ac:dyDescent="0.3">
      <c r="B69" s="1" t="s">
        <v>867</v>
      </c>
      <c r="I69" s="1" t="s">
        <v>764</v>
      </c>
      <c r="K69" s="1" t="s">
        <v>868</v>
      </c>
      <c r="M69" s="1" t="s">
        <v>869</v>
      </c>
      <c r="N69" s="118" t="s">
        <v>1002</v>
      </c>
      <c r="O69" s="120" t="s">
        <v>1014</v>
      </c>
      <c r="P69" s="139"/>
      <c r="Q69" s="122" t="s">
        <v>1070</v>
      </c>
      <c r="R69" s="140"/>
      <c r="S69" s="1" t="s">
        <v>496</v>
      </c>
      <c r="T69" s="2"/>
      <c r="U69" s="1" t="s">
        <v>496</v>
      </c>
      <c r="V69" s="2"/>
      <c r="W69" s="1" t="s">
        <v>973</v>
      </c>
      <c r="X69" s="126" t="s">
        <v>1032</v>
      </c>
      <c r="Y69" s="124"/>
      <c r="Z69" s="125"/>
      <c r="AA69" s="1" t="s">
        <v>1031</v>
      </c>
      <c r="AC69" s="1" t="s">
        <v>3</v>
      </c>
      <c r="AE69" s="4">
        <v>37073</v>
      </c>
      <c r="AH69" s="127"/>
      <c r="AI69" s="128"/>
    </row>
    <row r="70" spans="2:35" x14ac:dyDescent="0.3">
      <c r="B70" s="1" t="s">
        <v>870</v>
      </c>
      <c r="I70" s="1" t="s">
        <v>764</v>
      </c>
      <c r="K70" s="1" t="s">
        <v>871</v>
      </c>
      <c r="M70" s="1" t="s">
        <v>872</v>
      </c>
      <c r="N70" s="118" t="s">
        <v>1002</v>
      </c>
      <c r="O70" s="120" t="s">
        <v>1014</v>
      </c>
      <c r="P70" s="139"/>
      <c r="Q70" s="122" t="s">
        <v>1044</v>
      </c>
      <c r="R70" s="140"/>
      <c r="S70" s="1" t="s">
        <v>496</v>
      </c>
      <c r="T70" s="2"/>
      <c r="U70" s="1" t="s">
        <v>496</v>
      </c>
      <c r="V70" s="2"/>
      <c r="W70" s="1" t="s">
        <v>973</v>
      </c>
      <c r="X70" s="126" t="s">
        <v>1032</v>
      </c>
      <c r="Y70" s="124"/>
      <c r="Z70" s="125"/>
      <c r="AA70" s="1" t="s">
        <v>1031</v>
      </c>
      <c r="AC70" s="1" t="s">
        <v>3</v>
      </c>
      <c r="AE70" s="4">
        <v>37073</v>
      </c>
      <c r="AH70" s="127"/>
      <c r="AI70" s="128"/>
    </row>
    <row r="71" spans="2:35" x14ac:dyDescent="0.3">
      <c r="B71" s="1" t="s">
        <v>873</v>
      </c>
      <c r="I71" s="1" t="s">
        <v>764</v>
      </c>
      <c r="K71" s="1" t="s">
        <v>874</v>
      </c>
      <c r="M71" s="1" t="s">
        <v>875</v>
      </c>
      <c r="N71" s="118" t="s">
        <v>1002</v>
      </c>
      <c r="O71" s="120" t="s">
        <v>1014</v>
      </c>
      <c r="P71" s="139"/>
      <c r="Q71" s="122" t="s">
        <v>1060</v>
      </c>
      <c r="R71" s="140"/>
      <c r="S71" s="1" t="s">
        <v>496</v>
      </c>
      <c r="T71" s="2"/>
      <c r="U71" s="1" t="s">
        <v>496</v>
      </c>
      <c r="V71" s="2"/>
      <c r="W71" s="1" t="s">
        <v>973</v>
      </c>
      <c r="X71" s="126" t="s">
        <v>1032</v>
      </c>
      <c r="Y71" s="124"/>
      <c r="Z71" s="125"/>
      <c r="AA71" s="1" t="s">
        <v>1031</v>
      </c>
      <c r="AC71" s="1" t="s">
        <v>3</v>
      </c>
      <c r="AE71" s="4">
        <v>37073</v>
      </c>
      <c r="AH71" s="127"/>
      <c r="AI71" s="128"/>
    </row>
    <row r="72" spans="2:35" x14ac:dyDescent="0.3">
      <c r="B72" s="1" t="s">
        <v>876</v>
      </c>
      <c r="I72" s="1" t="s">
        <v>764</v>
      </c>
      <c r="K72" s="1" t="s">
        <v>877</v>
      </c>
      <c r="M72" s="1" t="s">
        <v>878</v>
      </c>
      <c r="N72" s="118" t="s">
        <v>1002</v>
      </c>
      <c r="O72" s="120" t="s">
        <v>1014</v>
      </c>
      <c r="P72" s="139"/>
      <c r="Q72" s="122" t="s">
        <v>1029</v>
      </c>
      <c r="R72" s="140"/>
      <c r="S72" s="1" t="s">
        <v>496</v>
      </c>
      <c r="T72" s="2"/>
      <c r="U72" s="1" t="s">
        <v>496</v>
      </c>
      <c r="V72" s="2"/>
      <c r="W72" s="1" t="s">
        <v>973</v>
      </c>
      <c r="X72" s="126" t="s">
        <v>1032</v>
      </c>
      <c r="Y72" s="124"/>
      <c r="Z72" s="125"/>
      <c r="AA72" s="1" t="s">
        <v>1031</v>
      </c>
      <c r="AC72" s="1" t="s">
        <v>3</v>
      </c>
      <c r="AE72" s="4">
        <v>37073</v>
      </c>
      <c r="AH72" s="127"/>
      <c r="AI72" s="128"/>
    </row>
    <row r="73" spans="2:35" x14ac:dyDescent="0.3">
      <c r="B73" s="1" t="s">
        <v>879</v>
      </c>
      <c r="I73" s="1" t="s">
        <v>764</v>
      </c>
      <c r="K73" s="1" t="s">
        <v>880</v>
      </c>
      <c r="M73" s="1" t="s">
        <v>881</v>
      </c>
      <c r="N73" s="118" t="s">
        <v>1002</v>
      </c>
      <c r="O73" s="120" t="s">
        <v>1014</v>
      </c>
      <c r="P73" s="139"/>
      <c r="Q73" s="122" t="s">
        <v>1071</v>
      </c>
      <c r="R73" s="140"/>
      <c r="S73" s="1" t="s">
        <v>496</v>
      </c>
      <c r="T73" s="2"/>
      <c r="U73" s="1" t="s">
        <v>496</v>
      </c>
      <c r="V73" s="2"/>
      <c r="W73" s="1" t="s">
        <v>973</v>
      </c>
      <c r="X73" s="126" t="s">
        <v>1032</v>
      </c>
      <c r="Y73" s="124"/>
      <c r="Z73" s="125"/>
      <c r="AA73" s="1" t="s">
        <v>1031</v>
      </c>
      <c r="AC73" s="1" t="s">
        <v>3</v>
      </c>
      <c r="AE73" s="4">
        <v>37073</v>
      </c>
      <c r="AH73" s="127"/>
      <c r="AI73" s="128"/>
    </row>
    <row r="74" spans="2:35" x14ac:dyDescent="0.3">
      <c r="B74" s="1" t="s">
        <v>882</v>
      </c>
      <c r="I74" s="1" t="s">
        <v>764</v>
      </c>
      <c r="K74" s="1" t="s">
        <v>883</v>
      </c>
      <c r="M74" s="1" t="s">
        <v>884</v>
      </c>
      <c r="N74" s="118" t="s">
        <v>1002</v>
      </c>
      <c r="O74" s="120" t="s">
        <v>1014</v>
      </c>
      <c r="P74" s="139"/>
      <c r="Q74" s="122" t="s">
        <v>1059</v>
      </c>
      <c r="R74" s="140"/>
      <c r="S74" s="1" t="s">
        <v>496</v>
      </c>
      <c r="T74" s="2"/>
      <c r="U74" s="1" t="s">
        <v>496</v>
      </c>
      <c r="V74" s="2"/>
      <c r="W74" s="1" t="s">
        <v>973</v>
      </c>
      <c r="X74" s="126" t="s">
        <v>1032</v>
      </c>
      <c r="Y74" s="124"/>
      <c r="Z74" s="125"/>
      <c r="AA74" s="1" t="s">
        <v>1031</v>
      </c>
      <c r="AC74" s="1" t="s">
        <v>3</v>
      </c>
      <c r="AE74" s="4">
        <v>37073</v>
      </c>
      <c r="AH74" s="127"/>
      <c r="AI74" s="128"/>
    </row>
    <row r="75" spans="2:35" x14ac:dyDescent="0.3">
      <c r="B75" s="1" t="s">
        <v>885</v>
      </c>
      <c r="I75" s="1" t="s">
        <v>764</v>
      </c>
      <c r="K75" s="1" t="s">
        <v>886</v>
      </c>
      <c r="M75" s="1" t="s">
        <v>887</v>
      </c>
      <c r="N75" s="118" t="s">
        <v>1002</v>
      </c>
      <c r="O75" s="120" t="s">
        <v>1014</v>
      </c>
      <c r="P75" s="139"/>
      <c r="Q75" s="122" t="s">
        <v>1047</v>
      </c>
      <c r="R75" s="140"/>
      <c r="S75" s="1" t="s">
        <v>496</v>
      </c>
      <c r="T75" s="2"/>
      <c r="U75" s="1" t="s">
        <v>496</v>
      </c>
      <c r="V75" s="2"/>
      <c r="W75" s="1" t="s">
        <v>973</v>
      </c>
      <c r="X75" s="126" t="s">
        <v>1032</v>
      </c>
      <c r="Y75" s="124"/>
      <c r="Z75" s="125"/>
      <c r="AA75" s="1" t="s">
        <v>1031</v>
      </c>
      <c r="AC75" s="1" t="s">
        <v>3</v>
      </c>
      <c r="AE75" s="4">
        <v>37073</v>
      </c>
      <c r="AH75" s="127"/>
      <c r="AI75" s="128"/>
    </row>
    <row r="76" spans="2:35" x14ac:dyDescent="0.3">
      <c r="B76" s="1" t="s">
        <v>888</v>
      </c>
      <c r="I76" s="1" t="s">
        <v>764</v>
      </c>
      <c r="K76" s="1" t="s">
        <v>889</v>
      </c>
      <c r="M76" s="1" t="s">
        <v>890</v>
      </c>
      <c r="N76" s="118" t="s">
        <v>1002</v>
      </c>
      <c r="O76" s="120" t="s">
        <v>1014</v>
      </c>
      <c r="P76" s="139"/>
      <c r="Q76" s="122" t="s">
        <v>1061</v>
      </c>
      <c r="R76" s="140"/>
      <c r="S76" s="1" t="s">
        <v>496</v>
      </c>
      <c r="T76" s="2"/>
      <c r="U76" s="1" t="s">
        <v>496</v>
      </c>
      <c r="V76" s="2"/>
      <c r="W76" s="1" t="s">
        <v>973</v>
      </c>
      <c r="X76" s="126" t="s">
        <v>1032</v>
      </c>
      <c r="Y76" s="124"/>
      <c r="Z76" s="125"/>
      <c r="AA76" s="1" t="s">
        <v>1031</v>
      </c>
      <c r="AC76" s="1" t="s">
        <v>3</v>
      </c>
      <c r="AE76" s="4">
        <v>37073</v>
      </c>
      <c r="AH76" s="127"/>
      <c r="AI76" s="128"/>
    </row>
    <row r="77" spans="2:35" x14ac:dyDescent="0.3">
      <c r="B77" s="1" t="s">
        <v>891</v>
      </c>
      <c r="I77" s="1" t="s">
        <v>764</v>
      </c>
      <c r="K77" s="1" t="s">
        <v>892</v>
      </c>
      <c r="M77" s="1" t="s">
        <v>893</v>
      </c>
      <c r="N77" s="118" t="s">
        <v>1002</v>
      </c>
      <c r="O77" s="120" t="s">
        <v>1014</v>
      </c>
      <c r="P77" s="139"/>
      <c r="Q77" s="122" t="s">
        <v>1062</v>
      </c>
      <c r="R77" s="140"/>
      <c r="S77" s="1" t="s">
        <v>496</v>
      </c>
      <c r="T77" s="2"/>
      <c r="U77" s="1" t="s">
        <v>496</v>
      </c>
      <c r="V77" s="2"/>
      <c r="W77" s="1" t="s">
        <v>973</v>
      </c>
      <c r="X77" s="126" t="s">
        <v>1032</v>
      </c>
      <c r="Y77" s="124"/>
      <c r="Z77" s="125"/>
      <c r="AA77" s="1" t="s">
        <v>1031</v>
      </c>
      <c r="AC77" s="1" t="s">
        <v>3</v>
      </c>
      <c r="AE77" s="4">
        <v>37073</v>
      </c>
      <c r="AH77" s="127"/>
      <c r="AI77" s="128"/>
    </row>
    <row r="78" spans="2:35" x14ac:dyDescent="0.3">
      <c r="B78" s="1" t="s">
        <v>894</v>
      </c>
      <c r="I78" s="1" t="s">
        <v>764</v>
      </c>
      <c r="K78" s="1" t="s">
        <v>895</v>
      </c>
      <c r="M78" s="1" t="s">
        <v>896</v>
      </c>
      <c r="N78" s="118" t="s">
        <v>1002</v>
      </c>
      <c r="O78" s="120" t="s">
        <v>1014</v>
      </c>
      <c r="P78" s="139"/>
      <c r="Q78" s="122" t="s">
        <v>1063</v>
      </c>
      <c r="R78" s="140"/>
      <c r="S78" s="1" t="s">
        <v>496</v>
      </c>
      <c r="T78" s="2"/>
      <c r="U78" s="1" t="s">
        <v>496</v>
      </c>
      <c r="V78" s="2"/>
      <c r="W78" s="1" t="s">
        <v>973</v>
      </c>
      <c r="X78" s="126" t="s">
        <v>1032</v>
      </c>
      <c r="Y78" s="124"/>
      <c r="Z78" s="125"/>
      <c r="AA78" s="1" t="s">
        <v>1031</v>
      </c>
      <c r="AC78" s="1" t="s">
        <v>3</v>
      </c>
      <c r="AE78" s="4">
        <v>37073</v>
      </c>
      <c r="AH78" s="127"/>
      <c r="AI78" s="128"/>
    </row>
    <row r="79" spans="2:35" x14ac:dyDescent="0.3">
      <c r="B79" s="1" t="s">
        <v>897</v>
      </c>
      <c r="I79" s="1" t="s">
        <v>764</v>
      </c>
      <c r="K79" s="1" t="s">
        <v>898</v>
      </c>
      <c r="M79" s="1" t="s">
        <v>899</v>
      </c>
      <c r="N79" s="118" t="s">
        <v>1002</v>
      </c>
      <c r="O79" s="120" t="s">
        <v>1014</v>
      </c>
      <c r="P79" s="139"/>
      <c r="Q79" s="122" t="s">
        <v>1048</v>
      </c>
      <c r="R79" s="140"/>
      <c r="S79" s="1" t="s">
        <v>496</v>
      </c>
      <c r="T79" s="2"/>
      <c r="U79" s="1" t="s">
        <v>496</v>
      </c>
      <c r="V79" s="2"/>
      <c r="W79" s="1" t="s">
        <v>973</v>
      </c>
      <c r="X79" s="126" t="s">
        <v>1032</v>
      </c>
      <c r="Y79" s="124"/>
      <c r="Z79" s="125"/>
      <c r="AA79" s="1" t="s">
        <v>1031</v>
      </c>
      <c r="AC79" s="1" t="s">
        <v>3</v>
      </c>
      <c r="AE79" s="4">
        <v>37073</v>
      </c>
      <c r="AH79" s="127"/>
      <c r="AI79" s="128"/>
    </row>
    <row r="80" spans="2:35" x14ac:dyDescent="0.3">
      <c r="B80" s="1" t="s">
        <v>900</v>
      </c>
      <c r="I80" s="1" t="s">
        <v>764</v>
      </c>
      <c r="K80" s="1" t="s">
        <v>901</v>
      </c>
      <c r="M80" s="1" t="s">
        <v>902</v>
      </c>
      <c r="N80" s="118" t="s">
        <v>1002</v>
      </c>
      <c r="O80" s="120" t="s">
        <v>1014</v>
      </c>
      <c r="P80" s="139"/>
      <c r="Q80" s="122" t="s">
        <v>1064</v>
      </c>
      <c r="R80" s="140"/>
      <c r="S80" s="1" t="s">
        <v>496</v>
      </c>
      <c r="T80" s="2"/>
      <c r="U80" s="1" t="s">
        <v>496</v>
      </c>
      <c r="V80" s="2"/>
      <c r="W80" s="1" t="s">
        <v>973</v>
      </c>
      <c r="X80" s="126" t="s">
        <v>1032</v>
      </c>
      <c r="Y80" s="124"/>
      <c r="Z80" s="125"/>
      <c r="AA80" s="1" t="s">
        <v>1031</v>
      </c>
      <c r="AC80" s="1" t="s">
        <v>3</v>
      </c>
      <c r="AE80" s="4">
        <v>37073</v>
      </c>
      <c r="AH80" s="127"/>
      <c r="AI80" s="128"/>
    </row>
    <row r="81" spans="2:35" x14ac:dyDescent="0.3">
      <c r="B81" s="1" t="s">
        <v>903</v>
      </c>
      <c r="I81" s="1" t="s">
        <v>764</v>
      </c>
      <c r="K81" s="1" t="s">
        <v>904</v>
      </c>
      <c r="M81" s="1" t="s">
        <v>905</v>
      </c>
      <c r="N81" s="118" t="s">
        <v>1002</v>
      </c>
      <c r="O81" s="120" t="s">
        <v>1014</v>
      </c>
      <c r="P81" s="139"/>
      <c r="Q81" s="122" t="s">
        <v>1043</v>
      </c>
      <c r="R81" s="140"/>
      <c r="S81" s="1" t="s">
        <v>496</v>
      </c>
      <c r="T81" s="2"/>
      <c r="U81" s="1" t="s">
        <v>496</v>
      </c>
      <c r="V81" s="2"/>
      <c r="W81" s="1" t="s">
        <v>973</v>
      </c>
      <c r="X81" s="126" t="s">
        <v>1032</v>
      </c>
      <c r="Y81" s="124"/>
      <c r="Z81" s="125"/>
      <c r="AA81" s="1" t="s">
        <v>1031</v>
      </c>
      <c r="AC81" s="1" t="s">
        <v>3</v>
      </c>
      <c r="AE81" s="4">
        <v>37073</v>
      </c>
      <c r="AH81" s="127"/>
      <c r="AI81" s="128"/>
    </row>
    <row r="82" spans="2:35" x14ac:dyDescent="0.3">
      <c r="B82" s="1" t="s">
        <v>906</v>
      </c>
      <c r="I82" s="1" t="s">
        <v>678</v>
      </c>
      <c r="K82" s="1" t="s">
        <v>907</v>
      </c>
      <c r="M82" s="1" t="s">
        <v>908</v>
      </c>
      <c r="N82" s="118" t="s">
        <v>1002</v>
      </c>
      <c r="O82" s="120" t="s">
        <v>1014</v>
      </c>
      <c r="P82" s="139"/>
      <c r="Q82" s="122" t="s">
        <v>1017</v>
      </c>
      <c r="R82" s="140"/>
      <c r="S82" s="1" t="s">
        <v>496</v>
      </c>
      <c r="T82" s="2"/>
      <c r="U82" s="1" t="s">
        <v>496</v>
      </c>
      <c r="V82" s="2"/>
      <c r="W82" s="1" t="s">
        <v>973</v>
      </c>
      <c r="X82" s="126" t="s">
        <v>1033</v>
      </c>
      <c r="Y82" s="124"/>
      <c r="Z82" s="125"/>
      <c r="AA82" s="1" t="s">
        <v>988</v>
      </c>
      <c r="AC82" s="1" t="s">
        <v>3</v>
      </c>
      <c r="AE82" s="4" t="s">
        <v>976</v>
      </c>
      <c r="AH82" s="127"/>
      <c r="AI82" s="128"/>
    </row>
    <row r="83" spans="2:35" x14ac:dyDescent="0.3">
      <c r="B83" s="1" t="s">
        <v>909</v>
      </c>
      <c r="I83" s="1" t="s">
        <v>678</v>
      </c>
      <c r="K83" s="1" t="s">
        <v>910</v>
      </c>
      <c r="N83" s="118"/>
      <c r="O83" s="120"/>
      <c r="P83" s="139"/>
      <c r="Q83" s="122"/>
      <c r="R83" s="140"/>
      <c r="S83" s="1" t="s">
        <v>496</v>
      </c>
      <c r="T83" s="2"/>
      <c r="U83" s="1" t="s">
        <v>496</v>
      </c>
      <c r="V83" s="2"/>
      <c r="W83" s="1" t="s">
        <v>973</v>
      </c>
      <c r="X83" s="126"/>
      <c r="Y83" s="124"/>
      <c r="Z83" s="125"/>
      <c r="AA83" s="1" t="s">
        <v>989</v>
      </c>
      <c r="AC83" s="1" t="s">
        <v>3</v>
      </c>
      <c r="AE83" s="4" t="s">
        <v>976</v>
      </c>
      <c r="AH83" s="127"/>
      <c r="AI83" s="128"/>
    </row>
    <row r="84" spans="2:35" x14ac:dyDescent="0.3">
      <c r="B84" s="1" t="s">
        <v>911</v>
      </c>
      <c r="I84" s="1" t="s">
        <v>678</v>
      </c>
      <c r="K84" s="1" t="s">
        <v>912</v>
      </c>
      <c r="M84" s="1" t="s">
        <v>913</v>
      </c>
      <c r="N84" s="118" t="s">
        <v>1002</v>
      </c>
      <c r="O84" s="120" t="s">
        <v>1014</v>
      </c>
      <c r="P84" s="139"/>
      <c r="Q84" s="122" t="s">
        <v>1017</v>
      </c>
      <c r="R84" s="140"/>
      <c r="S84" s="1" t="s">
        <v>496</v>
      </c>
      <c r="T84" s="2"/>
      <c r="U84" s="1" t="s">
        <v>496</v>
      </c>
      <c r="V84" s="2"/>
      <c r="W84" s="1" t="s">
        <v>973</v>
      </c>
      <c r="X84" s="126" t="s">
        <v>1033</v>
      </c>
      <c r="Y84" s="124"/>
      <c r="Z84" s="125"/>
      <c r="AA84" s="1" t="s">
        <v>989</v>
      </c>
      <c r="AC84" s="1" t="s">
        <v>3</v>
      </c>
      <c r="AE84" s="4" t="s">
        <v>976</v>
      </c>
      <c r="AH84" s="127"/>
      <c r="AI84" s="128"/>
    </row>
    <row r="85" spans="2:35" x14ac:dyDescent="0.3">
      <c r="B85" s="1" t="s">
        <v>914</v>
      </c>
      <c r="I85" s="1" t="s">
        <v>678</v>
      </c>
      <c r="K85" s="1" t="s">
        <v>915</v>
      </c>
      <c r="M85" s="1" t="s">
        <v>916</v>
      </c>
      <c r="N85" s="118" t="s">
        <v>1009</v>
      </c>
      <c r="O85" s="120" t="s">
        <v>1014</v>
      </c>
      <c r="P85" s="139"/>
      <c r="Q85" s="122"/>
      <c r="R85" s="140"/>
      <c r="S85" s="1" t="s">
        <v>496</v>
      </c>
      <c r="T85" s="2"/>
      <c r="U85" s="1" t="s">
        <v>496</v>
      </c>
      <c r="V85" s="2"/>
      <c r="W85" s="1" t="s">
        <v>973</v>
      </c>
      <c r="X85" s="126" t="s">
        <v>1033</v>
      </c>
      <c r="Y85" s="124"/>
      <c r="Z85" s="125"/>
      <c r="AH85" s="127"/>
      <c r="AI85" s="128"/>
    </row>
    <row r="86" spans="2:35" x14ac:dyDescent="0.3">
      <c r="B86" s="1" t="s">
        <v>917</v>
      </c>
      <c r="I86" s="1" t="s">
        <v>678</v>
      </c>
      <c r="K86" s="1" t="s">
        <v>918</v>
      </c>
      <c r="N86" s="118"/>
      <c r="O86" s="120"/>
      <c r="P86" s="139"/>
      <c r="Q86" s="122"/>
      <c r="R86" s="140"/>
      <c r="S86" s="1" t="s">
        <v>496</v>
      </c>
      <c r="T86" s="2"/>
      <c r="U86" s="1" t="s">
        <v>496</v>
      </c>
      <c r="V86" s="2"/>
      <c r="W86" s="1" t="s">
        <v>496</v>
      </c>
      <c r="X86" s="126"/>
      <c r="Y86" s="124"/>
      <c r="Z86" s="125"/>
      <c r="AA86" s="1" t="s">
        <v>990</v>
      </c>
      <c r="AC86" s="1" t="s">
        <v>3</v>
      </c>
      <c r="AE86" s="4" t="s">
        <v>976</v>
      </c>
      <c r="AH86" s="127"/>
      <c r="AI86" s="128"/>
    </row>
    <row r="87" spans="2:35" x14ac:dyDescent="0.3">
      <c r="B87" s="1" t="s">
        <v>919</v>
      </c>
      <c r="I87" s="1" t="s">
        <v>678</v>
      </c>
      <c r="K87" s="1" t="s">
        <v>920</v>
      </c>
      <c r="M87" s="1" t="s">
        <v>921</v>
      </c>
      <c r="N87" s="118" t="s">
        <v>1002</v>
      </c>
      <c r="O87" s="120" t="s">
        <v>1014</v>
      </c>
      <c r="P87" s="139"/>
      <c r="Q87" s="144" t="s">
        <v>1020</v>
      </c>
      <c r="R87" s="140"/>
      <c r="S87" s="1" t="s">
        <v>496</v>
      </c>
      <c r="T87" s="2"/>
      <c r="U87" s="1" t="s">
        <v>496</v>
      </c>
      <c r="V87" s="2"/>
      <c r="W87" s="1" t="s">
        <v>973</v>
      </c>
      <c r="X87" s="126" t="s">
        <v>1033</v>
      </c>
      <c r="Y87" s="124"/>
      <c r="Z87" s="125"/>
      <c r="AH87" s="127"/>
      <c r="AI87" s="128"/>
    </row>
    <row r="88" spans="2:35" x14ac:dyDescent="0.3">
      <c r="B88" s="1" t="s">
        <v>922</v>
      </c>
      <c r="I88" s="1" t="s">
        <v>678</v>
      </c>
      <c r="K88" s="1" t="s">
        <v>923</v>
      </c>
      <c r="M88" s="1" t="s">
        <v>924</v>
      </c>
      <c r="N88" s="118" t="s">
        <v>1002</v>
      </c>
      <c r="O88" s="120" t="s">
        <v>1014</v>
      </c>
      <c r="P88" s="139"/>
      <c r="Q88" s="122" t="s">
        <v>1017</v>
      </c>
      <c r="R88" s="140"/>
      <c r="S88" s="1" t="s">
        <v>496</v>
      </c>
      <c r="T88" s="2"/>
      <c r="U88" s="1" t="s">
        <v>496</v>
      </c>
      <c r="V88" s="2"/>
      <c r="W88" s="1" t="s">
        <v>973</v>
      </c>
      <c r="X88" s="126" t="s">
        <v>1033</v>
      </c>
      <c r="Y88" s="124"/>
      <c r="Z88" s="125"/>
      <c r="AA88" s="1" t="s">
        <v>991</v>
      </c>
      <c r="AC88" s="1" t="s">
        <v>3</v>
      </c>
      <c r="AE88" s="4" t="s">
        <v>976</v>
      </c>
      <c r="AH88" s="127"/>
      <c r="AI88" s="128"/>
    </row>
    <row r="89" spans="2:35" x14ac:dyDescent="0.3">
      <c r="B89" s="1" t="s">
        <v>925</v>
      </c>
      <c r="I89" s="1" t="s">
        <v>678</v>
      </c>
      <c r="K89" s="1" t="s">
        <v>926</v>
      </c>
      <c r="M89" s="1" t="s">
        <v>1010</v>
      </c>
      <c r="N89" s="118" t="s">
        <v>1002</v>
      </c>
      <c r="O89" s="120" t="s">
        <v>1014</v>
      </c>
      <c r="P89" s="139"/>
      <c r="Q89" s="122" t="s">
        <v>1017</v>
      </c>
      <c r="R89" s="140"/>
      <c r="S89" s="1" t="s">
        <v>496</v>
      </c>
      <c r="T89" s="2"/>
      <c r="U89" s="1" t="s">
        <v>496</v>
      </c>
      <c r="V89" s="2"/>
      <c r="W89" s="1" t="s">
        <v>973</v>
      </c>
      <c r="X89" s="126" t="s">
        <v>1033</v>
      </c>
      <c r="Y89" s="124"/>
      <c r="Z89" s="125"/>
      <c r="AA89" s="1" t="s">
        <v>992</v>
      </c>
      <c r="AC89" s="1" t="s">
        <v>3</v>
      </c>
      <c r="AE89" s="4" t="s">
        <v>976</v>
      </c>
      <c r="AH89" s="127"/>
      <c r="AI89" s="128"/>
    </row>
    <row r="90" spans="2:35" x14ac:dyDescent="0.3">
      <c r="B90" s="1" t="s">
        <v>927</v>
      </c>
      <c r="I90" s="1" t="s">
        <v>678</v>
      </c>
      <c r="K90" s="1" t="s">
        <v>928</v>
      </c>
      <c r="M90" s="143" t="s">
        <v>929</v>
      </c>
      <c r="N90" s="142" t="s">
        <v>1011</v>
      </c>
      <c r="O90" s="120" t="s">
        <v>1014</v>
      </c>
      <c r="P90" s="139"/>
      <c r="Q90" s="145" t="s">
        <v>1017</v>
      </c>
      <c r="R90" s="140"/>
      <c r="S90" s="1" t="s">
        <v>496</v>
      </c>
      <c r="T90" s="2"/>
      <c r="U90" s="1" t="s">
        <v>496</v>
      </c>
      <c r="V90" s="2"/>
      <c r="W90" s="1" t="s">
        <v>973</v>
      </c>
      <c r="X90" s="126" t="s">
        <v>1033</v>
      </c>
      <c r="Y90" s="124"/>
      <c r="Z90" s="125"/>
      <c r="AH90" s="127"/>
      <c r="AI90" s="128"/>
    </row>
    <row r="91" spans="2:35" x14ac:dyDescent="0.3">
      <c r="B91" s="1" t="s">
        <v>930</v>
      </c>
      <c r="I91" s="1" t="s">
        <v>678</v>
      </c>
      <c r="K91" s="1" t="s">
        <v>931</v>
      </c>
      <c r="M91" s="1" t="s">
        <v>1012</v>
      </c>
      <c r="N91" s="118"/>
      <c r="O91" s="120"/>
      <c r="P91" s="139"/>
      <c r="Q91" s="122"/>
      <c r="R91" s="140"/>
      <c r="S91" s="1" t="s">
        <v>496</v>
      </c>
      <c r="T91" s="2"/>
      <c r="U91" s="1" t="s">
        <v>496</v>
      </c>
      <c r="V91" s="2"/>
      <c r="W91" s="1" t="s">
        <v>973</v>
      </c>
      <c r="X91" s="126"/>
      <c r="Y91" s="124"/>
      <c r="Z91" s="125"/>
      <c r="AH91" s="127"/>
      <c r="AI91" s="128"/>
    </row>
    <row r="92" spans="2:35" x14ac:dyDescent="0.3">
      <c r="B92" s="1" t="s">
        <v>932</v>
      </c>
      <c r="I92" s="1" t="s">
        <v>678</v>
      </c>
      <c r="K92" s="1" t="s">
        <v>933</v>
      </c>
      <c r="M92" s="1" t="s">
        <v>934</v>
      </c>
      <c r="N92" s="118" t="s">
        <v>1002</v>
      </c>
      <c r="O92" s="120" t="s">
        <v>1015</v>
      </c>
      <c r="P92" s="139"/>
      <c r="Q92" s="122" t="s">
        <v>1021</v>
      </c>
      <c r="R92" s="140"/>
      <c r="S92" s="1" t="s">
        <v>496</v>
      </c>
      <c r="T92" s="2"/>
      <c r="U92" s="1" t="s">
        <v>496</v>
      </c>
      <c r="V92" s="2"/>
      <c r="W92" s="1" t="s">
        <v>973</v>
      </c>
      <c r="X92" s="126" t="s">
        <v>1033</v>
      </c>
      <c r="Y92" s="124"/>
      <c r="Z92" s="125"/>
      <c r="AA92" s="1" t="s">
        <v>993</v>
      </c>
      <c r="AC92" s="1" t="s">
        <v>3</v>
      </c>
      <c r="AE92" s="4" t="s">
        <v>976</v>
      </c>
      <c r="AH92" s="127"/>
      <c r="AI92" s="128"/>
    </row>
    <row r="93" spans="2:35" x14ac:dyDescent="0.3">
      <c r="B93" s="1" t="s">
        <v>935</v>
      </c>
      <c r="I93" s="1" t="s">
        <v>678</v>
      </c>
      <c r="K93" s="1" t="s">
        <v>936</v>
      </c>
      <c r="M93" s="1" t="s">
        <v>937</v>
      </c>
      <c r="N93" s="118" t="s">
        <v>1002</v>
      </c>
      <c r="O93" s="120" t="s">
        <v>1015</v>
      </c>
      <c r="P93" s="139"/>
      <c r="Q93" s="122" t="s">
        <v>1017</v>
      </c>
      <c r="R93" s="140"/>
      <c r="S93" s="1" t="s">
        <v>496</v>
      </c>
      <c r="T93" s="2"/>
      <c r="U93" s="1" t="s">
        <v>496</v>
      </c>
      <c r="V93" s="2"/>
      <c r="W93" s="1" t="s">
        <v>973</v>
      </c>
      <c r="X93" s="126" t="s">
        <v>1033</v>
      </c>
      <c r="Y93" s="124"/>
      <c r="Z93" s="125"/>
      <c r="AA93" s="1" t="s">
        <v>994</v>
      </c>
      <c r="AC93" s="1" t="s">
        <v>3</v>
      </c>
      <c r="AE93" s="4" t="s">
        <v>976</v>
      </c>
      <c r="AH93" s="127"/>
      <c r="AI93" s="128"/>
    </row>
    <row r="94" spans="2:35" x14ac:dyDescent="0.3">
      <c r="B94" s="1" t="s">
        <v>938</v>
      </c>
      <c r="I94" s="1" t="s">
        <v>678</v>
      </c>
      <c r="K94" s="1" t="s">
        <v>939</v>
      </c>
      <c r="M94" s="1" t="s">
        <v>940</v>
      </c>
      <c r="N94" s="118" t="s">
        <v>1005</v>
      </c>
      <c r="O94" s="120" t="s">
        <v>1015</v>
      </c>
      <c r="P94" s="139"/>
      <c r="Q94" s="122"/>
      <c r="R94" s="140"/>
      <c r="S94" s="1" t="s">
        <v>496</v>
      </c>
      <c r="T94" s="2"/>
      <c r="U94" s="1" t="s">
        <v>496</v>
      </c>
      <c r="V94" s="2"/>
      <c r="W94" s="1" t="s">
        <v>973</v>
      </c>
      <c r="X94" s="126" t="s">
        <v>1034</v>
      </c>
      <c r="Y94" s="124"/>
      <c r="Z94" s="125"/>
      <c r="AH94" s="127"/>
      <c r="AI94" s="128"/>
    </row>
    <row r="95" spans="2:35" x14ac:dyDescent="0.3">
      <c r="B95" s="1" t="s">
        <v>941</v>
      </c>
      <c r="I95" s="1" t="s">
        <v>678</v>
      </c>
      <c r="K95" s="1" t="s">
        <v>942</v>
      </c>
      <c r="M95" s="1" t="s">
        <v>943</v>
      </c>
      <c r="N95" s="118" t="s">
        <v>1002</v>
      </c>
      <c r="O95" s="120" t="s">
        <v>1015</v>
      </c>
      <c r="P95" s="139"/>
      <c r="Q95" s="122"/>
      <c r="R95" s="140"/>
      <c r="S95" s="1" t="s">
        <v>496</v>
      </c>
      <c r="T95" s="2"/>
      <c r="U95" s="1" t="s">
        <v>496</v>
      </c>
      <c r="V95" s="2"/>
      <c r="W95" s="1" t="s">
        <v>973</v>
      </c>
      <c r="X95" s="126" t="s">
        <v>1033</v>
      </c>
      <c r="Y95" s="124"/>
      <c r="Z95" s="125"/>
      <c r="AH95" s="127"/>
      <c r="AI95" s="128"/>
    </row>
    <row r="96" spans="2:35" x14ac:dyDescent="0.3">
      <c r="B96" s="1" t="s">
        <v>944</v>
      </c>
      <c r="I96" s="1" t="s">
        <v>678</v>
      </c>
      <c r="K96" s="1" t="s">
        <v>945</v>
      </c>
      <c r="M96" s="1" t="s">
        <v>946</v>
      </c>
      <c r="N96" s="118" t="s">
        <v>1002</v>
      </c>
      <c r="O96" s="120" t="s">
        <v>1015</v>
      </c>
      <c r="P96" s="139"/>
      <c r="Q96" s="122"/>
      <c r="R96" s="140"/>
      <c r="S96" s="1" t="s">
        <v>496</v>
      </c>
      <c r="T96" s="2"/>
      <c r="U96" s="1" t="s">
        <v>496</v>
      </c>
      <c r="V96" s="2"/>
      <c r="W96" s="1" t="s">
        <v>973</v>
      </c>
      <c r="X96" s="126" t="s">
        <v>1033</v>
      </c>
      <c r="Y96" s="124"/>
      <c r="Z96" s="125"/>
      <c r="AA96" s="1" t="s">
        <v>995</v>
      </c>
      <c r="AC96" s="1" t="s">
        <v>3</v>
      </c>
      <c r="AE96" s="4" t="s">
        <v>976</v>
      </c>
      <c r="AH96" s="127"/>
      <c r="AI96" s="128"/>
    </row>
    <row r="97" spans="1:35" x14ac:dyDescent="0.3">
      <c r="B97" s="1" t="s">
        <v>947</v>
      </c>
      <c r="I97" s="1" t="s">
        <v>678</v>
      </c>
      <c r="K97" s="1" t="s">
        <v>948</v>
      </c>
      <c r="M97" s="1" t="s">
        <v>949</v>
      </c>
      <c r="N97" s="118" t="s">
        <v>1002</v>
      </c>
      <c r="O97" s="120" t="s">
        <v>1015</v>
      </c>
      <c r="P97" s="139"/>
      <c r="Q97" s="122" t="s">
        <v>1017</v>
      </c>
      <c r="R97" s="140"/>
      <c r="S97" s="1" t="s">
        <v>496</v>
      </c>
      <c r="T97" s="2"/>
      <c r="U97" s="1" t="s">
        <v>496</v>
      </c>
      <c r="V97" s="2"/>
      <c r="W97" s="1" t="s">
        <v>496</v>
      </c>
      <c r="X97" s="126" t="s">
        <v>1033</v>
      </c>
      <c r="Y97" s="124"/>
      <c r="Z97" s="125"/>
      <c r="AA97" s="1" t="s">
        <v>996</v>
      </c>
      <c r="AC97" s="1" t="s">
        <v>3</v>
      </c>
      <c r="AE97" s="4" t="s">
        <v>976</v>
      </c>
      <c r="AH97" s="127"/>
      <c r="AI97" s="128"/>
    </row>
    <row r="98" spans="1:35" x14ac:dyDescent="0.3">
      <c r="B98" s="1" t="s">
        <v>950</v>
      </c>
      <c r="I98" s="1" t="s">
        <v>678</v>
      </c>
      <c r="K98" s="1" t="s">
        <v>951</v>
      </c>
      <c r="M98" s="1" t="s">
        <v>952</v>
      </c>
      <c r="N98" s="118" t="s">
        <v>1002</v>
      </c>
      <c r="O98" s="120" t="s">
        <v>1015</v>
      </c>
      <c r="P98" s="139"/>
      <c r="Q98" s="122" t="s">
        <v>1017</v>
      </c>
      <c r="R98" s="140"/>
      <c r="S98" s="1" t="s">
        <v>496</v>
      </c>
      <c r="T98" s="2"/>
      <c r="U98" s="1" t="s">
        <v>496</v>
      </c>
      <c r="V98" s="2"/>
      <c r="W98" s="1" t="s">
        <v>496</v>
      </c>
      <c r="X98" s="126" t="s">
        <v>1033</v>
      </c>
      <c r="Y98" s="124"/>
      <c r="Z98" s="125"/>
      <c r="AA98" s="1" t="s">
        <v>997</v>
      </c>
      <c r="AC98" s="1" t="s">
        <v>3</v>
      </c>
      <c r="AE98" s="4" t="s">
        <v>976</v>
      </c>
      <c r="AH98" s="127"/>
      <c r="AI98" s="128"/>
    </row>
    <row r="99" spans="1:35" x14ac:dyDescent="0.3">
      <c r="B99" s="1" t="s">
        <v>953</v>
      </c>
      <c r="I99" s="1" t="s">
        <v>678</v>
      </c>
      <c r="K99" s="1" t="s">
        <v>954</v>
      </c>
      <c r="M99" s="1" t="s">
        <v>955</v>
      </c>
      <c r="N99" s="118" t="s">
        <v>1002</v>
      </c>
      <c r="O99" s="120" t="s">
        <v>1015</v>
      </c>
      <c r="P99" s="139"/>
      <c r="Q99" s="122" t="s">
        <v>1022</v>
      </c>
      <c r="R99" s="140"/>
      <c r="S99" s="1" t="s">
        <v>496</v>
      </c>
      <c r="T99" s="2"/>
      <c r="U99" s="1" t="s">
        <v>496</v>
      </c>
      <c r="V99" s="2"/>
      <c r="W99" s="1" t="s">
        <v>973</v>
      </c>
      <c r="X99" s="126" t="s">
        <v>1033</v>
      </c>
      <c r="Y99" s="124"/>
      <c r="Z99" s="125"/>
      <c r="AH99" s="127"/>
      <c r="AI99" s="128"/>
    </row>
    <row r="100" spans="1:35" x14ac:dyDescent="0.3">
      <c r="B100" s="1" t="s">
        <v>956</v>
      </c>
      <c r="I100" s="1" t="s">
        <v>678</v>
      </c>
      <c r="K100" s="1" t="s">
        <v>957</v>
      </c>
      <c r="M100" s="1" t="s">
        <v>958</v>
      </c>
      <c r="N100" s="118" t="s">
        <v>1002</v>
      </c>
      <c r="O100" s="120" t="s">
        <v>1015</v>
      </c>
      <c r="P100" s="139"/>
      <c r="Q100" s="122" t="s">
        <v>1017</v>
      </c>
      <c r="R100" s="140"/>
      <c r="S100" s="1" t="s">
        <v>496</v>
      </c>
      <c r="T100" s="2"/>
      <c r="U100" s="1" t="s">
        <v>496</v>
      </c>
      <c r="V100" s="2"/>
      <c r="W100" s="1" t="s">
        <v>973</v>
      </c>
      <c r="X100" s="126" t="s">
        <v>1033</v>
      </c>
      <c r="Y100" s="124"/>
      <c r="Z100" s="125"/>
      <c r="AA100" s="1" t="s">
        <v>996</v>
      </c>
      <c r="AC100" s="1" t="s">
        <v>3</v>
      </c>
      <c r="AE100" s="4" t="s">
        <v>976</v>
      </c>
      <c r="AH100" s="127"/>
      <c r="AI100" s="128"/>
    </row>
    <row r="101" spans="1:35" x14ac:dyDescent="0.3">
      <c r="B101" s="1" t="s">
        <v>959</v>
      </c>
      <c r="I101" s="1" t="s">
        <v>678</v>
      </c>
      <c r="K101" s="1" t="s">
        <v>960</v>
      </c>
      <c r="M101" s="1" t="s">
        <v>961</v>
      </c>
      <c r="N101" s="118" t="s">
        <v>1002</v>
      </c>
      <c r="O101" s="120" t="s">
        <v>1015</v>
      </c>
      <c r="P101" s="139"/>
      <c r="Q101" s="122" t="s">
        <v>1017</v>
      </c>
      <c r="R101" s="140"/>
      <c r="S101" s="1" t="s">
        <v>496</v>
      </c>
      <c r="T101" s="2"/>
      <c r="U101" s="1" t="s">
        <v>496</v>
      </c>
      <c r="V101" s="2"/>
      <c r="W101" s="1" t="s">
        <v>496</v>
      </c>
      <c r="X101" s="126" t="s">
        <v>1033</v>
      </c>
      <c r="Y101" s="124"/>
      <c r="Z101" s="125"/>
      <c r="AA101" s="1" t="s">
        <v>998</v>
      </c>
      <c r="AC101" s="1" t="s">
        <v>3</v>
      </c>
      <c r="AE101" s="4" t="s">
        <v>976</v>
      </c>
      <c r="AH101" s="127"/>
      <c r="AI101" s="128"/>
    </row>
    <row r="102" spans="1:35" x14ac:dyDescent="0.3">
      <c r="B102" s="1" t="s">
        <v>962</v>
      </c>
      <c r="I102" s="1" t="s">
        <v>678</v>
      </c>
      <c r="K102" s="1" t="s">
        <v>963</v>
      </c>
      <c r="M102" s="1" t="s">
        <v>964</v>
      </c>
      <c r="N102" s="118" t="s">
        <v>1013</v>
      </c>
      <c r="O102" s="120" t="s">
        <v>1015</v>
      </c>
      <c r="P102" s="139"/>
      <c r="Q102" s="122" t="s">
        <v>1017</v>
      </c>
      <c r="R102" s="140"/>
      <c r="S102" s="1" t="s">
        <v>496</v>
      </c>
      <c r="T102" s="2"/>
      <c r="U102" s="1" t="s">
        <v>496</v>
      </c>
      <c r="V102" s="2"/>
      <c r="W102" s="1" t="s">
        <v>496</v>
      </c>
      <c r="X102" s="126" t="s">
        <v>1033</v>
      </c>
      <c r="Y102" s="124"/>
      <c r="Z102" s="125"/>
      <c r="AA102" s="1" t="s">
        <v>999</v>
      </c>
      <c r="AC102" s="1" t="s">
        <v>3</v>
      </c>
      <c r="AE102" s="4" t="s">
        <v>976</v>
      </c>
      <c r="AH102" s="127"/>
      <c r="AI102" s="128"/>
    </row>
    <row r="103" spans="1:35" x14ac:dyDescent="0.3">
      <c r="B103" s="1" t="s">
        <v>965</v>
      </c>
      <c r="I103" s="1" t="s">
        <v>678</v>
      </c>
      <c r="K103" s="1" t="s">
        <v>966</v>
      </c>
      <c r="N103" s="118"/>
      <c r="O103" s="120"/>
      <c r="P103" s="139"/>
      <c r="Q103" s="122"/>
      <c r="R103" s="140"/>
      <c r="S103" s="1" t="s">
        <v>496</v>
      </c>
      <c r="T103" s="2"/>
      <c r="U103" s="1" t="s">
        <v>496</v>
      </c>
      <c r="V103" s="2"/>
      <c r="W103" s="1" t="s">
        <v>973</v>
      </c>
      <c r="X103" s="126"/>
      <c r="Y103" s="124"/>
      <c r="Z103" s="125"/>
      <c r="AH103" s="127"/>
      <c r="AI103" s="128"/>
    </row>
    <row r="104" spans="1:35" x14ac:dyDescent="0.3">
      <c r="B104" s="1" t="s">
        <v>967</v>
      </c>
      <c r="I104" s="1" t="s">
        <v>678</v>
      </c>
      <c r="K104" s="1" t="s">
        <v>968</v>
      </c>
      <c r="M104" s="1" t="s">
        <v>969</v>
      </c>
      <c r="N104" s="118" t="s">
        <v>1002</v>
      </c>
      <c r="O104" s="120" t="s">
        <v>1015</v>
      </c>
      <c r="P104" s="139"/>
      <c r="Q104" s="122" t="s">
        <v>1023</v>
      </c>
      <c r="R104" s="140"/>
      <c r="S104" s="1" t="s">
        <v>496</v>
      </c>
      <c r="T104" s="2"/>
      <c r="U104" s="1" t="s">
        <v>496</v>
      </c>
      <c r="V104" s="2"/>
      <c r="W104" s="1" t="s">
        <v>496</v>
      </c>
      <c r="X104" s="126" t="s">
        <v>1035</v>
      </c>
      <c r="Y104" s="124"/>
      <c r="Z104" s="125"/>
      <c r="AH104" s="127"/>
      <c r="AI104" s="128"/>
    </row>
    <row r="105" spans="1:35" x14ac:dyDescent="0.3">
      <c r="B105" s="1" t="s">
        <v>970</v>
      </c>
      <c r="I105" s="1" t="s">
        <v>678</v>
      </c>
      <c r="K105" s="1" t="s">
        <v>971</v>
      </c>
      <c r="M105" s="1" t="s">
        <v>972</v>
      </c>
      <c r="N105" s="118" t="s">
        <v>1002</v>
      </c>
      <c r="O105" s="120" t="s">
        <v>1015</v>
      </c>
      <c r="P105" s="139"/>
      <c r="Q105" s="122" t="s">
        <v>1024</v>
      </c>
      <c r="R105" s="140"/>
      <c r="S105" s="1" t="s">
        <v>496</v>
      </c>
      <c r="T105" s="2"/>
      <c r="U105" s="1" t="s">
        <v>496</v>
      </c>
      <c r="V105" s="2"/>
      <c r="W105" s="1" t="s">
        <v>973</v>
      </c>
      <c r="X105" s="126" t="s">
        <v>1035</v>
      </c>
      <c r="Y105" s="124"/>
      <c r="Z105" s="125"/>
      <c r="AH105" s="127"/>
      <c r="AI105" s="128"/>
    </row>
    <row r="106" spans="1:35" x14ac:dyDescent="0.3">
      <c r="A106" s="118"/>
      <c r="B106" s="119"/>
      <c r="C106" s="119"/>
      <c r="D106" s="118"/>
      <c r="E106" s="119"/>
      <c r="F106" s="118"/>
      <c r="G106" s="119"/>
      <c r="H106" s="118"/>
      <c r="I106" s="119"/>
      <c r="J106" s="118"/>
      <c r="K106" s="119"/>
      <c r="L106" s="118"/>
      <c r="M106" s="119"/>
      <c r="N106" s="118"/>
      <c r="O106" s="120"/>
      <c r="P106" s="139"/>
      <c r="Q106" s="140"/>
      <c r="R106" s="140"/>
      <c r="S106" s="119"/>
      <c r="T106" s="118"/>
      <c r="U106" s="119"/>
      <c r="V106" s="118"/>
      <c r="W106" s="119"/>
      <c r="X106" s="126"/>
      <c r="Y106" s="124"/>
      <c r="Z106" s="125"/>
      <c r="AH106" s="127"/>
      <c r="AI106" s="128"/>
    </row>
    <row r="107" spans="1:35" x14ac:dyDescent="0.3">
      <c r="O107" s="22"/>
      <c r="P107" s="20"/>
      <c r="Q107" s="25"/>
      <c r="R107" s="25"/>
      <c r="T107" s="2"/>
      <c r="V107" s="2"/>
    </row>
    <row r="108" spans="1:35" x14ac:dyDescent="0.3">
      <c r="O108" s="22"/>
      <c r="P108" s="20"/>
      <c r="Q108" s="25"/>
      <c r="R108" s="25"/>
      <c r="T108" s="2"/>
      <c r="V108" s="2"/>
    </row>
    <row r="109" spans="1:35" x14ac:dyDescent="0.3">
      <c r="O109" s="22"/>
      <c r="P109" s="20"/>
      <c r="Q109" s="25"/>
      <c r="R109" s="25"/>
      <c r="T109" s="2"/>
      <c r="V109" s="2"/>
    </row>
    <row r="110" spans="1:35" x14ac:dyDescent="0.3">
      <c r="O110" s="22"/>
      <c r="P110" s="20"/>
      <c r="Q110" s="25"/>
      <c r="R110" s="25"/>
      <c r="T110" s="2"/>
      <c r="V110" s="2"/>
    </row>
    <row r="111" spans="1:35" x14ac:dyDescent="0.3">
      <c r="O111" s="22"/>
      <c r="P111" s="20"/>
      <c r="Q111" s="25"/>
      <c r="R111" s="25"/>
      <c r="T111" s="2"/>
      <c r="V111" s="2"/>
    </row>
    <row r="112" spans="1:35" x14ac:dyDescent="0.3">
      <c r="O112" s="22"/>
      <c r="P112" s="20"/>
      <c r="Q112" s="25"/>
      <c r="R112" s="25"/>
      <c r="T112" s="2"/>
      <c r="V112" s="2"/>
    </row>
    <row r="113" spans="15:22" x14ac:dyDescent="0.3">
      <c r="O113" s="22"/>
      <c r="P113" s="20"/>
      <c r="Q113" s="25"/>
      <c r="R113" s="25"/>
      <c r="T113" s="2"/>
      <c r="V113" s="2"/>
    </row>
    <row r="114" spans="15:22" x14ac:dyDescent="0.3">
      <c r="O114" s="22"/>
      <c r="P114" s="20"/>
      <c r="Q114" s="25"/>
      <c r="R114" s="25"/>
      <c r="T114" s="2"/>
      <c r="V114" s="2"/>
    </row>
    <row r="115" spans="15:22" x14ac:dyDescent="0.3">
      <c r="O115" s="22"/>
      <c r="P115" s="20"/>
      <c r="Q115" s="25"/>
      <c r="R115" s="25"/>
      <c r="T115" s="2"/>
      <c r="V115" s="2"/>
    </row>
    <row r="116" spans="15:22" x14ac:dyDescent="0.3">
      <c r="O116" s="22"/>
      <c r="P116" s="20"/>
      <c r="Q116" s="25"/>
      <c r="R116" s="25"/>
      <c r="T116" s="2"/>
      <c r="V116" s="2"/>
    </row>
    <row r="117" spans="15:22" x14ac:dyDescent="0.3">
      <c r="O117" s="22"/>
      <c r="P117" s="20"/>
      <c r="Q117" s="25"/>
      <c r="R117" s="25"/>
      <c r="T117" s="2"/>
      <c r="V117" s="2"/>
    </row>
    <row r="118" spans="15:22" x14ac:dyDescent="0.3">
      <c r="O118" s="22"/>
      <c r="P118" s="20"/>
      <c r="Q118" s="25"/>
      <c r="R118" s="25"/>
      <c r="T118" s="2"/>
      <c r="V118" s="2"/>
    </row>
    <row r="119" spans="15:22" x14ac:dyDescent="0.3">
      <c r="O119" s="22"/>
      <c r="P119" s="20"/>
      <c r="Q119" s="25"/>
      <c r="R119" s="25"/>
      <c r="T119" s="2"/>
      <c r="V119" s="2"/>
    </row>
    <row r="120" spans="15:22" x14ac:dyDescent="0.3">
      <c r="O120" s="22"/>
      <c r="P120" s="20"/>
      <c r="Q120" s="25"/>
      <c r="R120" s="25"/>
      <c r="T120" s="2"/>
      <c r="V120" s="2"/>
    </row>
    <row r="121" spans="15:22" x14ac:dyDescent="0.3">
      <c r="O121" s="22"/>
      <c r="P121" s="20"/>
      <c r="Q121" s="25"/>
      <c r="R121" s="25"/>
      <c r="T121" s="2"/>
      <c r="V121" s="2"/>
    </row>
    <row r="122" spans="15:22" x14ac:dyDescent="0.3">
      <c r="O122" s="22"/>
      <c r="P122" s="20"/>
      <c r="Q122" s="25"/>
      <c r="R122" s="25"/>
      <c r="T122" s="2"/>
      <c r="V122" s="2"/>
    </row>
    <row r="123" spans="15:22" x14ac:dyDescent="0.3">
      <c r="O123" s="22"/>
      <c r="P123" s="20"/>
      <c r="Q123" s="25"/>
      <c r="R123" s="25"/>
      <c r="T123" s="2"/>
      <c r="V123" s="2"/>
    </row>
    <row r="124" spans="15:22" x14ac:dyDescent="0.3">
      <c r="O124" s="22"/>
      <c r="P124" s="20"/>
      <c r="Q124" s="25"/>
      <c r="R124" s="25"/>
      <c r="T124" s="2"/>
      <c r="V124" s="2"/>
    </row>
    <row r="125" spans="15:22" x14ac:dyDescent="0.3">
      <c r="O125" s="22"/>
      <c r="P125" s="20"/>
      <c r="Q125" s="25"/>
      <c r="R125" s="25"/>
      <c r="T125" s="2"/>
      <c r="V125" s="2"/>
    </row>
    <row r="126" spans="15:22" x14ac:dyDescent="0.3">
      <c r="O126" s="22"/>
      <c r="P126" s="20"/>
      <c r="Q126" s="25"/>
      <c r="R126" s="25"/>
      <c r="T126" s="2"/>
      <c r="V126" s="2"/>
    </row>
    <row r="127" spans="15:22" x14ac:dyDescent="0.3">
      <c r="O127" s="22"/>
      <c r="P127" s="20"/>
      <c r="Q127" s="25"/>
      <c r="R127" s="25"/>
      <c r="T127" s="2"/>
      <c r="V127" s="2"/>
    </row>
    <row r="128" spans="15:22" x14ac:dyDescent="0.3">
      <c r="O128" s="22"/>
      <c r="P128" s="20"/>
      <c r="Q128" s="25"/>
      <c r="R128" s="25"/>
      <c r="T128" s="2"/>
      <c r="V128" s="2"/>
    </row>
    <row r="129" spans="15:44" x14ac:dyDescent="0.3">
      <c r="O129" s="22"/>
      <c r="P129" s="20"/>
      <c r="Q129" s="25"/>
      <c r="R129" s="25"/>
      <c r="T129" s="2"/>
      <c r="V129" s="2"/>
    </row>
    <row r="130" spans="15:44" x14ac:dyDescent="0.3">
      <c r="O130" s="22"/>
      <c r="P130" s="20"/>
      <c r="Q130" s="25"/>
      <c r="R130" s="25"/>
      <c r="T130" s="2"/>
      <c r="V130" s="2"/>
    </row>
    <row r="131" spans="15:44" x14ac:dyDescent="0.3">
      <c r="O131" s="22"/>
      <c r="P131" s="20"/>
      <c r="Q131" s="25"/>
      <c r="R131" s="25"/>
      <c r="T131" s="2"/>
      <c r="V131" s="2"/>
    </row>
    <row r="132" spans="15:44" x14ac:dyDescent="0.3">
      <c r="O132" s="22"/>
      <c r="P132" s="20"/>
      <c r="Q132" s="25"/>
      <c r="R132" s="25"/>
      <c r="T132" s="2"/>
      <c r="V132" s="2"/>
    </row>
    <row r="133" spans="15:44" x14ac:dyDescent="0.3">
      <c r="O133" s="22"/>
      <c r="P133" s="20"/>
      <c r="Q133" s="25"/>
      <c r="R133" s="25"/>
      <c r="T133" s="2"/>
      <c r="V133" s="2"/>
    </row>
    <row r="134" spans="15:44" x14ac:dyDescent="0.3">
      <c r="O134" s="22"/>
      <c r="P134" s="20"/>
      <c r="Q134" s="25"/>
      <c r="R134" s="25"/>
      <c r="T134" s="2"/>
      <c r="V134" s="2"/>
    </row>
    <row r="135" spans="15:44" x14ac:dyDescent="0.3">
      <c r="O135" s="22"/>
      <c r="P135" s="20"/>
      <c r="Q135" s="25"/>
      <c r="R135" s="25"/>
      <c r="T135" s="2"/>
      <c r="V135" s="2"/>
      <c r="AJ135" s="23"/>
      <c r="AK135" s="23"/>
      <c r="AL135" s="23"/>
      <c r="AM135" s="16"/>
      <c r="AN135" s="16"/>
      <c r="AO135" s="16"/>
      <c r="AP135" s="16"/>
      <c r="AQ135" s="16"/>
      <c r="AR135" s="16"/>
    </row>
    <row r="136" spans="15:44" x14ac:dyDescent="0.3">
      <c r="O136" s="22"/>
      <c r="P136" s="20"/>
      <c r="Q136" s="25"/>
      <c r="R136" s="25"/>
      <c r="T136" s="2"/>
      <c r="V136" s="2"/>
      <c r="AJ136" s="23"/>
      <c r="AK136" s="23"/>
      <c r="AL136" s="23"/>
      <c r="AM136" s="16"/>
      <c r="AN136" s="16"/>
      <c r="AO136" s="16"/>
      <c r="AP136" s="16"/>
      <c r="AQ136" s="16"/>
      <c r="AR136" s="16"/>
    </row>
    <row r="137" spans="15:44" x14ac:dyDescent="0.3">
      <c r="O137" s="22"/>
      <c r="P137" s="20"/>
      <c r="Q137" s="25"/>
      <c r="R137" s="25"/>
      <c r="T137" s="2"/>
      <c r="V137" s="2"/>
    </row>
    <row r="138" spans="15:44" x14ac:dyDescent="0.3">
      <c r="O138" s="22"/>
      <c r="P138" s="20"/>
      <c r="Q138" s="25"/>
      <c r="R138" s="25"/>
      <c r="T138" s="2"/>
      <c r="V138" s="2"/>
    </row>
    <row r="139" spans="15:44" x14ac:dyDescent="0.3">
      <c r="O139" s="22"/>
      <c r="P139" s="20"/>
      <c r="Q139" s="25"/>
      <c r="R139" s="25"/>
      <c r="T139" s="2"/>
      <c r="V139" s="2"/>
    </row>
    <row r="140" spans="15:44" x14ac:dyDescent="0.3">
      <c r="O140" s="22"/>
      <c r="P140" s="20"/>
      <c r="Q140" s="25"/>
      <c r="R140" s="25"/>
      <c r="T140" s="2"/>
      <c r="V140" s="2"/>
    </row>
    <row r="141" spans="15:44" x14ac:dyDescent="0.3">
      <c r="O141" s="22"/>
      <c r="P141" s="20"/>
      <c r="Q141" s="25"/>
      <c r="R141" s="25"/>
      <c r="T141" s="2"/>
      <c r="V141" s="2"/>
    </row>
    <row r="142" spans="15:44" x14ac:dyDescent="0.3">
      <c r="O142" s="22"/>
      <c r="P142" s="20"/>
      <c r="Q142" s="25"/>
      <c r="R142" s="25"/>
      <c r="T142" s="2"/>
      <c r="V142" s="2"/>
    </row>
    <row r="143" spans="15:44" x14ac:dyDescent="0.3">
      <c r="O143" s="22"/>
      <c r="P143" s="20"/>
      <c r="Q143" s="25"/>
      <c r="R143" s="25"/>
      <c r="T143" s="2"/>
      <c r="V143" s="2"/>
    </row>
    <row r="144" spans="15:44" x14ac:dyDescent="0.3">
      <c r="O144" s="22"/>
      <c r="P144" s="20"/>
      <c r="Q144" s="25"/>
      <c r="R144" s="25"/>
      <c r="T144" s="2"/>
      <c r="V144" s="2"/>
    </row>
    <row r="145" spans="15:22" x14ac:dyDescent="0.3">
      <c r="O145" s="22"/>
      <c r="P145" s="20"/>
      <c r="Q145" s="25"/>
      <c r="R145" s="25"/>
      <c r="T145" s="2"/>
      <c r="V145" s="2"/>
    </row>
    <row r="146" spans="15:22" x14ac:dyDescent="0.3">
      <c r="O146" s="22"/>
      <c r="P146" s="20"/>
      <c r="Q146" s="25"/>
      <c r="R146" s="25"/>
      <c r="T146" s="2"/>
      <c r="V146" s="2"/>
    </row>
    <row r="147" spans="15:22" x14ac:dyDescent="0.3">
      <c r="O147" s="22"/>
      <c r="P147" s="20"/>
      <c r="Q147" s="25"/>
      <c r="R147" s="25"/>
      <c r="T147" s="2"/>
      <c r="V147" s="2"/>
    </row>
    <row r="148" spans="15:22" x14ac:dyDescent="0.3">
      <c r="O148" s="22"/>
      <c r="P148" s="20"/>
      <c r="Q148" s="25"/>
      <c r="R148" s="25"/>
      <c r="T148" s="2"/>
      <c r="V148" s="2"/>
    </row>
    <row r="149" spans="15:22" x14ac:dyDescent="0.3">
      <c r="O149" s="22"/>
      <c r="P149" s="20"/>
      <c r="Q149" s="25"/>
      <c r="R149" s="25"/>
      <c r="T149" s="2"/>
      <c r="V149" s="2"/>
    </row>
    <row r="150" spans="15:22" x14ac:dyDescent="0.3">
      <c r="O150" s="22"/>
      <c r="P150" s="20"/>
      <c r="Q150" s="25"/>
      <c r="R150" s="25"/>
      <c r="T150" s="2"/>
      <c r="V150" s="2"/>
    </row>
    <row r="151" spans="15:22" x14ac:dyDescent="0.3">
      <c r="O151" s="22"/>
      <c r="P151" s="20"/>
      <c r="Q151" s="25"/>
      <c r="R151" s="25"/>
      <c r="T151" s="2"/>
      <c r="V151" s="2"/>
    </row>
    <row r="152" spans="15:22" x14ac:dyDescent="0.3">
      <c r="O152" s="22"/>
      <c r="P152" s="20"/>
      <c r="Q152" s="25"/>
      <c r="R152" s="25"/>
      <c r="T152" s="2"/>
      <c r="V152" s="2"/>
    </row>
    <row r="153" spans="15:22" x14ac:dyDescent="0.3">
      <c r="O153" s="22"/>
      <c r="P153" s="20"/>
      <c r="Q153" s="25"/>
      <c r="R153" s="25"/>
      <c r="T153" s="2"/>
      <c r="V153" s="2"/>
    </row>
    <row r="154" spans="15:22" x14ac:dyDescent="0.3">
      <c r="O154" s="22"/>
      <c r="P154" s="20"/>
      <c r="Q154" s="25"/>
      <c r="R154" s="25"/>
      <c r="T154" s="2"/>
      <c r="V154" s="2"/>
    </row>
    <row r="155" spans="15:22" x14ac:dyDescent="0.3">
      <c r="O155" s="22"/>
      <c r="P155" s="20"/>
      <c r="Q155" s="25"/>
      <c r="R155" s="25"/>
      <c r="T155" s="2"/>
      <c r="V155" s="2"/>
    </row>
    <row r="156" spans="15:22" x14ac:dyDescent="0.3">
      <c r="O156" s="22"/>
      <c r="P156" s="20"/>
      <c r="Q156" s="25"/>
      <c r="R156" s="25"/>
      <c r="T156" s="2"/>
      <c r="V156" s="2"/>
    </row>
    <row r="157" spans="15:22" x14ac:dyDescent="0.3">
      <c r="O157" s="22"/>
      <c r="P157" s="20"/>
      <c r="Q157" s="25"/>
      <c r="R157" s="25"/>
      <c r="T157" s="2"/>
      <c r="V157" s="2"/>
    </row>
    <row r="158" spans="15:22" x14ac:dyDescent="0.3">
      <c r="O158" s="22"/>
      <c r="P158" s="20"/>
      <c r="Q158" s="25"/>
      <c r="R158" s="25"/>
      <c r="T158" s="2"/>
      <c r="V158" s="2"/>
    </row>
    <row r="159" spans="15:22" x14ac:dyDescent="0.3">
      <c r="O159" s="22"/>
      <c r="P159" s="20"/>
      <c r="Q159" s="25"/>
      <c r="R159" s="25"/>
      <c r="T159" s="2"/>
      <c r="V159" s="2"/>
    </row>
    <row r="160" spans="15:22" x14ac:dyDescent="0.3">
      <c r="O160" s="22"/>
      <c r="P160" s="20"/>
      <c r="Q160" s="25"/>
      <c r="R160" s="25"/>
      <c r="T160" s="2"/>
      <c r="V160" s="2"/>
    </row>
    <row r="161" spans="15:22" x14ac:dyDescent="0.3">
      <c r="O161" s="22"/>
      <c r="P161" s="20"/>
      <c r="Q161" s="25"/>
      <c r="R161" s="25"/>
      <c r="T161" s="2"/>
      <c r="V161" s="2"/>
    </row>
    <row r="162" spans="15:22" x14ac:dyDescent="0.3">
      <c r="O162" s="22"/>
      <c r="P162" s="20"/>
      <c r="Q162" s="25"/>
      <c r="R162" s="25"/>
      <c r="T162" s="2"/>
      <c r="V162" s="2"/>
    </row>
    <row r="163" spans="15:22" x14ac:dyDescent="0.3">
      <c r="O163" s="22"/>
      <c r="P163" s="20"/>
      <c r="Q163" s="25"/>
      <c r="R163" s="25"/>
      <c r="T163" s="2"/>
      <c r="V163" s="2"/>
    </row>
    <row r="164" spans="15:22" x14ac:dyDescent="0.3">
      <c r="O164" s="22"/>
      <c r="P164" s="20"/>
      <c r="Q164" s="25"/>
      <c r="R164" s="25"/>
      <c r="T164" s="2"/>
      <c r="V164" s="2"/>
    </row>
    <row r="165" spans="15:22" x14ac:dyDescent="0.3">
      <c r="O165" s="22"/>
      <c r="P165" s="20"/>
      <c r="Q165" s="25"/>
      <c r="R165" s="25"/>
      <c r="T165" s="2"/>
      <c r="V165" s="2"/>
    </row>
    <row r="166" spans="15:22" x14ac:dyDescent="0.3">
      <c r="O166" s="22"/>
      <c r="P166" s="20"/>
      <c r="Q166" s="25"/>
      <c r="R166" s="25"/>
      <c r="T166" s="2"/>
      <c r="V166" s="2"/>
    </row>
    <row r="167" spans="15:22" x14ac:dyDescent="0.3">
      <c r="O167" s="22"/>
      <c r="P167" s="20"/>
      <c r="Q167" s="25"/>
      <c r="R167" s="25"/>
      <c r="T167" s="2"/>
      <c r="V167" s="2"/>
    </row>
    <row r="168" spans="15:22" x14ac:dyDescent="0.3">
      <c r="O168" s="22"/>
      <c r="P168" s="20"/>
      <c r="Q168" s="25"/>
      <c r="R168" s="25"/>
      <c r="T168" s="2"/>
      <c r="V168" s="2"/>
    </row>
    <row r="169" spans="15:22" x14ac:dyDescent="0.3">
      <c r="O169" s="22"/>
      <c r="P169" s="20"/>
      <c r="Q169" s="25"/>
      <c r="R169" s="25"/>
      <c r="T169" s="2"/>
      <c r="V169" s="2"/>
    </row>
    <row r="170" spans="15:22" x14ac:dyDescent="0.3">
      <c r="O170" s="22"/>
      <c r="P170" s="20"/>
      <c r="Q170" s="25"/>
      <c r="R170" s="25"/>
      <c r="T170" s="2"/>
      <c r="V170" s="2"/>
    </row>
    <row r="171" spans="15:22" x14ac:dyDescent="0.3">
      <c r="O171" s="22"/>
      <c r="P171" s="20"/>
      <c r="Q171" s="25"/>
      <c r="R171" s="25"/>
      <c r="T171" s="2"/>
      <c r="V171" s="2"/>
    </row>
    <row r="172" spans="15:22" x14ac:dyDescent="0.3">
      <c r="O172" s="22"/>
      <c r="P172" s="20"/>
      <c r="Q172" s="25"/>
      <c r="R172" s="25"/>
      <c r="T172" s="2"/>
      <c r="V172" s="2"/>
    </row>
    <row r="173" spans="15:22" x14ac:dyDescent="0.3">
      <c r="O173" s="22"/>
      <c r="P173" s="20"/>
      <c r="Q173" s="25"/>
      <c r="R173" s="25"/>
      <c r="T173" s="2"/>
      <c r="V173" s="2"/>
    </row>
    <row r="174" spans="15:22" x14ac:dyDescent="0.3">
      <c r="O174" s="22"/>
      <c r="P174" s="20"/>
      <c r="Q174" s="25"/>
      <c r="R174" s="25"/>
      <c r="T174" s="2"/>
      <c r="V174" s="2"/>
    </row>
    <row r="175" spans="15:22" x14ac:dyDescent="0.3">
      <c r="O175" s="22"/>
      <c r="P175" s="20"/>
      <c r="Q175" s="25"/>
      <c r="R175" s="25"/>
      <c r="T175" s="2"/>
      <c r="V175" s="2"/>
    </row>
    <row r="176" spans="15:22" x14ac:dyDescent="0.3">
      <c r="O176" s="22"/>
      <c r="P176" s="20"/>
      <c r="Q176" s="25"/>
      <c r="R176" s="25"/>
      <c r="T176" s="2"/>
      <c r="V176" s="2"/>
    </row>
    <row r="177" spans="15:22" x14ac:dyDescent="0.3">
      <c r="O177" s="22"/>
      <c r="P177" s="20"/>
      <c r="Q177" s="25"/>
      <c r="R177" s="25"/>
      <c r="T177" s="2"/>
      <c r="V177" s="2"/>
    </row>
    <row r="178" spans="15:22" x14ac:dyDescent="0.3">
      <c r="O178" s="22"/>
      <c r="P178" s="20"/>
      <c r="Q178" s="25"/>
      <c r="R178" s="25"/>
      <c r="T178" s="2"/>
      <c r="V178" s="2"/>
    </row>
    <row r="179" spans="15:22" x14ac:dyDescent="0.3">
      <c r="O179" s="22"/>
      <c r="P179" s="20"/>
      <c r="Q179" s="25"/>
      <c r="R179" s="25"/>
      <c r="T179" s="2"/>
      <c r="V179" s="2"/>
    </row>
    <row r="180" spans="15:22" x14ac:dyDescent="0.3">
      <c r="O180" s="22"/>
      <c r="P180" s="20"/>
      <c r="Q180" s="25"/>
      <c r="R180" s="25"/>
      <c r="T180" s="2"/>
      <c r="V180" s="2"/>
    </row>
    <row r="181" spans="15:22" x14ac:dyDescent="0.3">
      <c r="O181" s="22"/>
      <c r="P181" s="20"/>
      <c r="Q181" s="25"/>
      <c r="R181" s="25"/>
      <c r="T181" s="2"/>
      <c r="V181" s="2"/>
    </row>
    <row r="182" spans="15:22" x14ac:dyDescent="0.3">
      <c r="O182" s="22"/>
      <c r="P182" s="20"/>
      <c r="Q182" s="25"/>
      <c r="R182" s="25"/>
      <c r="T182" s="2"/>
      <c r="V182" s="2"/>
    </row>
    <row r="183" spans="15:22" x14ac:dyDescent="0.3">
      <c r="O183" s="22"/>
      <c r="P183" s="20"/>
      <c r="Q183" s="25"/>
      <c r="R183" s="25"/>
      <c r="T183" s="2"/>
      <c r="V183" s="2"/>
    </row>
    <row r="184" spans="15:22" x14ac:dyDescent="0.3">
      <c r="O184" s="22"/>
      <c r="P184" s="20"/>
      <c r="Q184" s="25"/>
      <c r="R184" s="25"/>
      <c r="T184" s="2"/>
      <c r="V184" s="2"/>
    </row>
    <row r="185" spans="15:22" x14ac:dyDescent="0.3">
      <c r="O185" s="22"/>
      <c r="P185" s="20"/>
      <c r="Q185" s="25"/>
      <c r="R185" s="25"/>
      <c r="T185" s="2"/>
      <c r="V185" s="2"/>
    </row>
    <row r="186" spans="15:22" x14ac:dyDescent="0.3">
      <c r="O186" s="22"/>
      <c r="P186" s="20"/>
      <c r="Q186" s="25"/>
      <c r="R186" s="25"/>
      <c r="T186" s="2"/>
      <c r="V186" s="2"/>
    </row>
    <row r="187" spans="15:22" x14ac:dyDescent="0.3">
      <c r="O187" s="22"/>
      <c r="P187" s="20"/>
      <c r="Q187" s="25"/>
      <c r="R187" s="25"/>
      <c r="T187" s="2"/>
      <c r="V187" s="2"/>
    </row>
    <row r="188" spans="15:22" x14ac:dyDescent="0.3">
      <c r="O188" s="22"/>
      <c r="P188" s="20"/>
      <c r="Q188" s="25"/>
      <c r="R188" s="25"/>
      <c r="T188" s="2"/>
      <c r="V188" s="2"/>
    </row>
    <row r="189" spans="15:22" x14ac:dyDescent="0.3">
      <c r="O189" s="22"/>
      <c r="P189" s="20"/>
      <c r="Q189" s="25"/>
      <c r="R189" s="25"/>
      <c r="T189" s="2"/>
      <c r="V189" s="2"/>
    </row>
    <row r="190" spans="15:22" x14ac:dyDescent="0.3">
      <c r="O190" s="22"/>
      <c r="P190" s="20"/>
      <c r="Q190" s="25"/>
      <c r="R190" s="25"/>
      <c r="T190" s="2"/>
      <c r="V190" s="2"/>
    </row>
    <row r="191" spans="15:22" x14ac:dyDescent="0.3">
      <c r="O191" s="22"/>
      <c r="P191" s="20"/>
      <c r="Q191" s="25"/>
      <c r="R191" s="25"/>
      <c r="T191" s="2"/>
      <c r="V191" s="2"/>
    </row>
    <row r="192" spans="15:22" x14ac:dyDescent="0.3">
      <c r="O192" s="22"/>
      <c r="P192" s="20"/>
      <c r="Q192" s="25"/>
      <c r="R192" s="25"/>
      <c r="T192" s="2"/>
      <c r="V192" s="2"/>
    </row>
    <row r="193" spans="14:22" x14ac:dyDescent="0.3">
      <c r="O193" s="22"/>
      <c r="P193" s="20"/>
      <c r="Q193" s="25"/>
      <c r="R193" s="25"/>
      <c r="T193" s="2"/>
      <c r="V193" s="2"/>
    </row>
    <row r="194" spans="14:22" x14ac:dyDescent="0.3">
      <c r="O194" s="22"/>
      <c r="P194" s="20"/>
      <c r="Q194" s="25"/>
      <c r="R194" s="25"/>
      <c r="T194" s="2"/>
      <c r="V194" s="2"/>
    </row>
    <row r="195" spans="14:22" x14ac:dyDescent="0.3">
      <c r="O195" s="22"/>
      <c r="P195" s="20"/>
      <c r="Q195" s="25"/>
      <c r="R195" s="25"/>
      <c r="T195" s="2"/>
      <c r="V195" s="2"/>
    </row>
    <row r="196" spans="14:22" x14ac:dyDescent="0.3">
      <c r="O196" s="22"/>
      <c r="P196" s="20"/>
      <c r="Q196" s="25"/>
      <c r="R196" s="25"/>
      <c r="T196" s="2"/>
      <c r="V196" s="2"/>
    </row>
    <row r="197" spans="14:22" x14ac:dyDescent="0.3">
      <c r="O197" s="22"/>
      <c r="P197" s="20"/>
      <c r="Q197" s="25"/>
      <c r="R197" s="25"/>
      <c r="T197" s="2"/>
      <c r="V197" s="2"/>
    </row>
    <row r="198" spans="14:22" x14ac:dyDescent="0.3">
      <c r="O198" s="22"/>
      <c r="P198" s="20"/>
      <c r="Q198" s="25"/>
      <c r="R198" s="25"/>
      <c r="T198" s="2"/>
      <c r="V198" s="2"/>
    </row>
    <row r="199" spans="14:22" x14ac:dyDescent="0.3">
      <c r="O199" s="22"/>
      <c r="P199" s="20"/>
      <c r="Q199" s="25"/>
      <c r="R199" s="25"/>
      <c r="T199" s="2"/>
      <c r="V199" s="2"/>
    </row>
    <row r="200" spans="14:22" x14ac:dyDescent="0.3">
      <c r="O200" s="22"/>
      <c r="P200" s="20"/>
      <c r="Q200" s="25"/>
      <c r="R200" s="25"/>
      <c r="T200" s="2"/>
      <c r="V200" s="2"/>
    </row>
    <row r="201" spans="14:22" x14ac:dyDescent="0.3">
      <c r="O201" s="22"/>
      <c r="P201" s="20"/>
      <c r="Q201" s="25"/>
      <c r="R201" s="25"/>
      <c r="T201" s="2"/>
      <c r="V201" s="2"/>
    </row>
    <row r="202" spans="14:22" x14ac:dyDescent="0.3">
      <c r="O202" s="22"/>
      <c r="P202" s="20"/>
      <c r="Q202" s="25"/>
      <c r="R202" s="25"/>
      <c r="T202" s="2"/>
      <c r="V202" s="2"/>
    </row>
    <row r="203" spans="14:22" x14ac:dyDescent="0.3">
      <c r="O203" s="22"/>
      <c r="P203" s="20"/>
      <c r="Q203" s="25"/>
      <c r="R203" s="25"/>
      <c r="T203" s="2"/>
      <c r="V203" s="2"/>
    </row>
    <row r="204" spans="14:22" x14ac:dyDescent="0.3">
      <c r="O204" s="22"/>
      <c r="P204" s="20"/>
      <c r="Q204" s="25"/>
      <c r="R204" s="25"/>
      <c r="T204" s="2"/>
      <c r="V204" s="2"/>
    </row>
    <row r="205" spans="14:22" x14ac:dyDescent="0.3">
      <c r="O205" s="22"/>
      <c r="P205" s="20"/>
      <c r="Q205" s="25"/>
      <c r="R205" s="25"/>
      <c r="T205" s="2"/>
      <c r="V205" s="2"/>
    </row>
    <row r="206" spans="14:22" x14ac:dyDescent="0.3">
      <c r="N206" s="16"/>
      <c r="O206" s="22"/>
      <c r="P206" s="20"/>
      <c r="Q206" s="25"/>
      <c r="R206" s="25"/>
      <c r="T206" s="2"/>
      <c r="V206" s="2"/>
    </row>
    <row r="207" spans="14:22" x14ac:dyDescent="0.3">
      <c r="N207" s="16"/>
      <c r="O207" s="22"/>
      <c r="P207" s="20"/>
      <c r="Q207" s="25"/>
      <c r="R207" s="25"/>
      <c r="T207" s="2"/>
      <c r="V207" s="2"/>
    </row>
    <row r="208" spans="14:22" x14ac:dyDescent="0.3">
      <c r="N208" s="16"/>
      <c r="O208" s="22"/>
      <c r="P208" s="20"/>
      <c r="Q208" s="25"/>
      <c r="R208" s="25"/>
      <c r="T208" s="2"/>
      <c r="V208" s="2"/>
    </row>
    <row r="209" spans="14:35" x14ac:dyDescent="0.3">
      <c r="N209" s="16"/>
      <c r="O209" s="22"/>
      <c r="P209" s="20"/>
      <c r="Q209" s="25"/>
      <c r="R209" s="25"/>
      <c r="T209" s="2"/>
      <c r="V209" s="2"/>
    </row>
    <row r="210" spans="14:35" x14ac:dyDescent="0.3">
      <c r="N210" s="16"/>
      <c r="O210" s="22"/>
      <c r="P210" s="20"/>
      <c r="Q210" s="25"/>
      <c r="R210" s="25"/>
      <c r="T210" s="2"/>
      <c r="V210" s="2"/>
    </row>
    <row r="211" spans="14:35" x14ac:dyDescent="0.3">
      <c r="N211" s="16"/>
      <c r="O211" s="22"/>
      <c r="P211" s="20"/>
      <c r="Q211" s="25"/>
      <c r="R211" s="25"/>
      <c r="T211" s="2"/>
      <c r="V211" s="2"/>
    </row>
    <row r="212" spans="14:35" x14ac:dyDescent="0.3">
      <c r="N212" s="16"/>
      <c r="O212" s="22"/>
      <c r="P212" s="20"/>
      <c r="Q212" s="25"/>
      <c r="R212" s="25"/>
      <c r="T212" s="2"/>
      <c r="V212" s="2"/>
    </row>
    <row r="213" spans="14:35" x14ac:dyDescent="0.3">
      <c r="N213" s="16"/>
      <c r="O213" s="22"/>
      <c r="P213" s="20"/>
      <c r="Q213" s="25"/>
      <c r="R213" s="25"/>
      <c r="T213" s="2"/>
      <c r="V213" s="2"/>
      <c r="AI213" s="42"/>
    </row>
    <row r="214" spans="14:35" x14ac:dyDescent="0.3">
      <c r="N214" s="16"/>
      <c r="O214" s="22"/>
      <c r="P214" s="20"/>
      <c r="Q214" s="25"/>
      <c r="R214" s="25"/>
      <c r="T214" s="2"/>
      <c r="V214" s="2"/>
      <c r="AI214" s="42"/>
    </row>
    <row r="215" spans="14:35" x14ac:dyDescent="0.3">
      <c r="N215" s="16"/>
      <c r="O215" s="22"/>
      <c r="P215" s="20"/>
      <c r="Q215" s="25"/>
      <c r="R215" s="25"/>
      <c r="T215" s="2"/>
      <c r="V215" s="2"/>
    </row>
    <row r="216" spans="14:35" x14ac:dyDescent="0.3">
      <c r="N216" s="16"/>
      <c r="O216" s="22"/>
      <c r="P216" s="20"/>
      <c r="Q216" s="25"/>
      <c r="R216" s="25"/>
      <c r="T216" s="2"/>
      <c r="V216" s="2"/>
    </row>
    <row r="217" spans="14:35" x14ac:dyDescent="0.3">
      <c r="N217" s="16"/>
      <c r="O217" s="22"/>
      <c r="P217" s="20"/>
      <c r="Q217" s="25"/>
      <c r="R217" s="25"/>
      <c r="T217" s="2"/>
      <c r="V217" s="2"/>
    </row>
    <row r="218" spans="14:35" x14ac:dyDescent="0.3">
      <c r="N218" s="16"/>
      <c r="O218" s="22"/>
      <c r="P218" s="20"/>
      <c r="Q218" s="25"/>
      <c r="R218" s="25"/>
      <c r="T218" s="2"/>
      <c r="V218" s="2"/>
    </row>
    <row r="219" spans="14:35" x14ac:dyDescent="0.3">
      <c r="N219" s="16"/>
      <c r="O219" s="22"/>
      <c r="P219" s="20"/>
      <c r="Q219" s="25"/>
      <c r="R219" s="25"/>
      <c r="T219" s="2"/>
      <c r="V219" s="2"/>
    </row>
    <row r="220" spans="14:35" x14ac:dyDescent="0.3">
      <c r="N220" s="16"/>
      <c r="O220" s="22"/>
      <c r="P220" s="20"/>
      <c r="Q220" s="25"/>
      <c r="R220" s="25"/>
      <c r="T220" s="2"/>
      <c r="V220" s="2"/>
    </row>
    <row r="221" spans="14:35" x14ac:dyDescent="0.3">
      <c r="N221" s="16"/>
      <c r="O221" s="22"/>
      <c r="P221" s="20"/>
      <c r="Q221" s="25"/>
      <c r="R221" s="25"/>
      <c r="T221" s="2"/>
      <c r="V221" s="2"/>
    </row>
    <row r="222" spans="14:35" x14ac:dyDescent="0.3">
      <c r="N222" s="16"/>
      <c r="O222" s="22"/>
      <c r="P222" s="20"/>
      <c r="Q222" s="25"/>
      <c r="R222" s="25"/>
      <c r="T222" s="2"/>
      <c r="V222" s="2"/>
    </row>
    <row r="223" spans="14:35" x14ac:dyDescent="0.3">
      <c r="O223" s="22"/>
      <c r="P223" s="20"/>
      <c r="Q223" s="25"/>
      <c r="R223" s="25"/>
      <c r="T223" s="2"/>
      <c r="V223" s="2"/>
    </row>
    <row r="224" spans="14:35" x14ac:dyDescent="0.3">
      <c r="O224" s="22"/>
      <c r="P224" s="20"/>
      <c r="Q224" s="25"/>
      <c r="R224" s="25"/>
      <c r="T224" s="2"/>
      <c r="V224" s="2"/>
    </row>
    <row r="225" spans="15:22" x14ac:dyDescent="0.3">
      <c r="O225" s="22"/>
      <c r="P225" s="20"/>
      <c r="Q225" s="23"/>
      <c r="R225" s="25"/>
      <c r="T225" s="2"/>
      <c r="V225" s="2"/>
    </row>
    <row r="226" spans="15:22" x14ac:dyDescent="0.3">
      <c r="O226" s="22"/>
      <c r="Q226" s="10"/>
      <c r="R226" s="25"/>
      <c r="T226" s="2"/>
      <c r="V226" s="2"/>
    </row>
    <row r="227" spans="15:22" x14ac:dyDescent="0.3">
      <c r="O227" s="22"/>
      <c r="Q227" s="10"/>
      <c r="T227" s="2"/>
      <c r="V227" s="2"/>
    </row>
    <row r="228" spans="15:22" x14ac:dyDescent="0.3">
      <c r="O228" s="22"/>
      <c r="Q228" s="10"/>
      <c r="T228" s="2"/>
      <c r="V228" s="2"/>
    </row>
    <row r="229" spans="15:22" x14ac:dyDescent="0.3">
      <c r="O229" s="22"/>
      <c r="Q229" s="10"/>
      <c r="T229" s="2"/>
      <c r="V229" s="2"/>
    </row>
    <row r="230" spans="15:22" x14ac:dyDescent="0.3">
      <c r="O230" s="22"/>
      <c r="Q230" s="10"/>
      <c r="T230" s="2"/>
      <c r="V230" s="2"/>
    </row>
    <row r="231" spans="15:22" x14ac:dyDescent="0.3">
      <c r="O231" s="22"/>
      <c r="Q231" s="10"/>
      <c r="T231" s="2"/>
      <c r="V231" s="2"/>
    </row>
    <row r="232" spans="15:22" x14ac:dyDescent="0.3">
      <c r="O232" s="22"/>
      <c r="Q232" s="10"/>
      <c r="T232" s="2"/>
      <c r="V232" s="2"/>
    </row>
    <row r="233" spans="15:22" x14ac:dyDescent="0.3">
      <c r="O233" s="22"/>
      <c r="Q233" s="10"/>
      <c r="T233" s="2"/>
      <c r="V233" s="2"/>
    </row>
    <row r="234" spans="15:22" x14ac:dyDescent="0.3">
      <c r="O234" s="22"/>
      <c r="Q234" s="10"/>
      <c r="T234" s="2"/>
      <c r="V234" s="2"/>
    </row>
    <row r="235" spans="15:22" x14ac:dyDescent="0.3">
      <c r="O235" s="22"/>
      <c r="Q235" s="10"/>
      <c r="T235" s="2"/>
      <c r="V235" s="2"/>
    </row>
    <row r="236" spans="15:22" x14ac:dyDescent="0.3">
      <c r="O236" s="22"/>
      <c r="Q236" s="10"/>
      <c r="T236" s="2"/>
      <c r="V236" s="2"/>
    </row>
    <row r="237" spans="15:22" x14ac:dyDescent="0.3">
      <c r="O237" s="22"/>
      <c r="Q237" s="10"/>
      <c r="T237" s="2"/>
      <c r="V237" s="2"/>
    </row>
    <row r="238" spans="15:22" x14ac:dyDescent="0.3">
      <c r="O238" s="22"/>
      <c r="Q238" s="10"/>
      <c r="T238" s="2"/>
      <c r="V238" s="2"/>
    </row>
    <row r="239" spans="15:22" x14ac:dyDescent="0.3">
      <c r="O239" s="22"/>
      <c r="Q239" s="10"/>
      <c r="T239" s="2"/>
      <c r="V239" s="2"/>
    </row>
    <row r="240" spans="15:22" x14ac:dyDescent="0.3">
      <c r="O240" s="22"/>
      <c r="Q240" s="10"/>
      <c r="T240" s="2"/>
      <c r="V240" s="2"/>
    </row>
    <row r="241" spans="15:22" x14ac:dyDescent="0.3">
      <c r="O241" s="22"/>
      <c r="Q241" s="10"/>
      <c r="T241" s="2"/>
      <c r="V241" s="2"/>
    </row>
    <row r="242" spans="15:22" x14ac:dyDescent="0.3">
      <c r="O242" s="22"/>
      <c r="Q242" s="10"/>
      <c r="T242" s="2"/>
      <c r="V242" s="2"/>
    </row>
    <row r="243" spans="15:22" x14ac:dyDescent="0.3">
      <c r="O243" s="22"/>
      <c r="Q243" s="10"/>
      <c r="T243" s="2"/>
      <c r="V243" s="2"/>
    </row>
    <row r="244" spans="15:22" x14ac:dyDescent="0.3">
      <c r="O244" s="22"/>
      <c r="Q244" s="10"/>
      <c r="T244" s="2"/>
      <c r="V244" s="2"/>
    </row>
    <row r="245" spans="15:22" x14ac:dyDescent="0.3">
      <c r="O245" s="22"/>
      <c r="Q245" s="10"/>
      <c r="T245" s="2"/>
      <c r="V245" s="2"/>
    </row>
    <row r="246" spans="15:22" x14ac:dyDescent="0.3">
      <c r="O246" s="22"/>
      <c r="Q246" s="10"/>
      <c r="T246" s="2"/>
      <c r="V246" s="2"/>
    </row>
    <row r="247" spans="15:22" x14ac:dyDescent="0.3">
      <c r="O247" s="22"/>
      <c r="Q247" s="10"/>
      <c r="T247" s="2"/>
      <c r="V247" s="2"/>
    </row>
    <row r="248" spans="15:22" x14ac:dyDescent="0.3">
      <c r="O248" s="22"/>
      <c r="Q248" s="10"/>
      <c r="T248" s="2"/>
      <c r="V248" s="2"/>
    </row>
    <row r="249" spans="15:22" x14ac:dyDescent="0.3">
      <c r="O249" s="22"/>
      <c r="Q249" s="10"/>
      <c r="T249" s="2"/>
      <c r="V249" s="2"/>
    </row>
    <row r="250" spans="15:22" x14ac:dyDescent="0.3">
      <c r="O250" s="22"/>
      <c r="Q250" s="10"/>
      <c r="T250" s="2"/>
      <c r="V250" s="2"/>
    </row>
    <row r="251" spans="15:22" x14ac:dyDescent="0.3">
      <c r="O251" s="22"/>
      <c r="Q251" s="10"/>
      <c r="T251" s="2"/>
      <c r="V251" s="2"/>
    </row>
    <row r="252" spans="15:22" x14ac:dyDescent="0.3">
      <c r="O252" s="22"/>
      <c r="Q252" s="10"/>
      <c r="T252" s="2"/>
      <c r="V252" s="2"/>
    </row>
    <row r="253" spans="15:22" x14ac:dyDescent="0.3">
      <c r="O253" s="22"/>
      <c r="Q253" s="10"/>
      <c r="T253" s="2"/>
      <c r="V253" s="2"/>
    </row>
    <row r="254" spans="15:22" x14ac:dyDescent="0.3">
      <c r="O254" s="22"/>
      <c r="Q254" s="10"/>
      <c r="T254" s="2"/>
      <c r="V254" s="2"/>
    </row>
    <row r="255" spans="15:22" x14ac:dyDescent="0.3">
      <c r="O255" s="22"/>
      <c r="Q255" s="10"/>
      <c r="T255" s="2"/>
      <c r="V255" s="2"/>
    </row>
    <row r="256" spans="15:22" x14ac:dyDescent="0.3">
      <c r="O256" s="22"/>
      <c r="Q256" s="10"/>
      <c r="T256" s="2"/>
      <c r="V256" s="2"/>
    </row>
    <row r="257" spans="15:22" x14ac:dyDescent="0.3">
      <c r="O257" s="22"/>
      <c r="Q257" s="10"/>
      <c r="T257" s="2"/>
      <c r="V257" s="2"/>
    </row>
    <row r="258" spans="15:22" x14ac:dyDescent="0.3">
      <c r="O258" s="22"/>
      <c r="Q258" s="10"/>
      <c r="T258" s="2"/>
      <c r="V258" s="2"/>
    </row>
    <row r="259" spans="15:22" x14ac:dyDescent="0.3">
      <c r="O259" s="22"/>
      <c r="Q259" s="10"/>
      <c r="T259" s="2"/>
      <c r="V259" s="2"/>
    </row>
    <row r="260" spans="15:22" x14ac:dyDescent="0.3">
      <c r="O260" s="22"/>
      <c r="Q260" s="10"/>
      <c r="T260" s="2"/>
      <c r="V260" s="2"/>
    </row>
    <row r="261" spans="15:22" x14ac:dyDescent="0.3">
      <c r="O261" s="22"/>
      <c r="Q261" s="10"/>
      <c r="T261" s="2"/>
      <c r="V261" s="2"/>
    </row>
    <row r="262" spans="15:22" x14ac:dyDescent="0.3">
      <c r="O262" s="22"/>
      <c r="Q262" s="10"/>
      <c r="T262" s="2"/>
      <c r="V262" s="2"/>
    </row>
    <row r="263" spans="15:22" x14ac:dyDescent="0.3">
      <c r="O263" s="22"/>
      <c r="Q263" s="10"/>
      <c r="T263" s="2"/>
      <c r="V263" s="2"/>
    </row>
    <row r="264" spans="15:22" x14ac:dyDescent="0.3">
      <c r="O264" s="22"/>
      <c r="Q264" s="10"/>
      <c r="T264" s="2"/>
      <c r="V264" s="2"/>
    </row>
    <row r="265" spans="15:22" x14ac:dyDescent="0.3">
      <c r="O265" s="22"/>
      <c r="Q265" s="10"/>
      <c r="T265" s="2"/>
      <c r="V265" s="2"/>
    </row>
    <row r="266" spans="15:22" x14ac:dyDescent="0.3">
      <c r="O266" s="22"/>
      <c r="Q266" s="10"/>
      <c r="T266" s="2"/>
      <c r="V266" s="2"/>
    </row>
    <row r="267" spans="15:22" x14ac:dyDescent="0.3">
      <c r="O267" s="22"/>
      <c r="Q267" s="10"/>
      <c r="T267" s="2"/>
      <c r="V267" s="2"/>
    </row>
    <row r="268" spans="15:22" x14ac:dyDescent="0.3">
      <c r="O268" s="22"/>
      <c r="Q268" s="10"/>
      <c r="T268" s="2"/>
      <c r="V268" s="2"/>
    </row>
    <row r="269" spans="15:22" x14ac:dyDescent="0.3">
      <c r="O269" s="22"/>
      <c r="Q269" s="10"/>
      <c r="T269" s="2"/>
      <c r="V269" s="2"/>
    </row>
    <row r="270" spans="15:22" x14ac:dyDescent="0.3">
      <c r="O270" s="22"/>
      <c r="Q270" s="10"/>
      <c r="T270" s="2"/>
      <c r="V270" s="2"/>
    </row>
    <row r="271" spans="15:22" x14ac:dyDescent="0.3">
      <c r="O271" s="22"/>
      <c r="Q271" s="10"/>
      <c r="T271" s="2"/>
      <c r="V271" s="2"/>
    </row>
    <row r="272" spans="15:22" x14ac:dyDescent="0.3">
      <c r="O272" s="22"/>
      <c r="Q272" s="10"/>
      <c r="T272" s="2"/>
      <c r="V272" s="2"/>
    </row>
    <row r="273" spans="15:22" x14ac:dyDescent="0.3">
      <c r="O273" s="22"/>
      <c r="Q273" s="10"/>
      <c r="T273" s="2"/>
      <c r="V273" s="2"/>
    </row>
    <row r="274" spans="15:22" x14ac:dyDescent="0.3">
      <c r="O274" s="22"/>
      <c r="Q274" s="10"/>
      <c r="T274" s="2"/>
      <c r="V274" s="2"/>
    </row>
    <row r="275" spans="15:22" x14ac:dyDescent="0.3">
      <c r="O275" s="22"/>
      <c r="Q275" s="10"/>
      <c r="T275" s="2"/>
      <c r="V275" s="2"/>
    </row>
    <row r="276" spans="15:22" x14ac:dyDescent="0.3">
      <c r="O276" s="22"/>
      <c r="Q276" s="10"/>
      <c r="T276" s="2"/>
      <c r="V276" s="2"/>
    </row>
    <row r="277" spans="15:22" x14ac:dyDescent="0.3">
      <c r="O277" s="22"/>
      <c r="Q277" s="10"/>
      <c r="T277" s="2"/>
      <c r="V277" s="2"/>
    </row>
    <row r="278" spans="15:22" x14ac:dyDescent="0.3">
      <c r="O278" s="22"/>
      <c r="Q278" s="10"/>
      <c r="T278" s="2"/>
      <c r="V278" s="2"/>
    </row>
    <row r="279" spans="15:22" x14ac:dyDescent="0.3">
      <c r="O279" s="22"/>
      <c r="Q279" s="10"/>
      <c r="T279" s="2"/>
      <c r="V279" s="2"/>
    </row>
    <row r="280" spans="15:22" x14ac:dyDescent="0.3">
      <c r="O280" s="22"/>
      <c r="Q280" s="10"/>
      <c r="T280" s="2"/>
      <c r="V280" s="2"/>
    </row>
    <row r="281" spans="15:22" x14ac:dyDescent="0.3">
      <c r="O281" s="22"/>
      <c r="Q281" s="10"/>
      <c r="T281" s="2"/>
      <c r="V281" s="2"/>
    </row>
    <row r="282" spans="15:22" x14ac:dyDescent="0.3">
      <c r="O282" s="22"/>
      <c r="Q282" s="10"/>
      <c r="T282" s="2"/>
      <c r="V282" s="2"/>
    </row>
    <row r="283" spans="15:22" x14ac:dyDescent="0.3">
      <c r="O283" s="22"/>
      <c r="Q283" s="10"/>
      <c r="T283" s="2"/>
      <c r="V283" s="2"/>
    </row>
    <row r="284" spans="15:22" x14ac:dyDescent="0.3">
      <c r="O284" s="22"/>
      <c r="Q284" s="10"/>
      <c r="T284" s="2"/>
      <c r="V284" s="2"/>
    </row>
    <row r="285" spans="15:22" x14ac:dyDescent="0.3">
      <c r="O285" s="22"/>
      <c r="Q285" s="10"/>
      <c r="T285" s="2"/>
      <c r="V285" s="2"/>
    </row>
    <row r="286" spans="15:22" x14ac:dyDescent="0.3">
      <c r="O286" s="22"/>
      <c r="Q286" s="10"/>
      <c r="T286" s="2"/>
      <c r="V286" s="2"/>
    </row>
    <row r="287" spans="15:22" x14ac:dyDescent="0.3">
      <c r="O287" s="22"/>
      <c r="Q287" s="10"/>
      <c r="T287" s="2"/>
      <c r="V287" s="2"/>
    </row>
    <row r="288" spans="15:22" x14ac:dyDescent="0.3">
      <c r="O288" s="22"/>
      <c r="Q288" s="10"/>
      <c r="T288" s="2"/>
      <c r="V288" s="2"/>
    </row>
    <row r="289" spans="15:22" x14ac:dyDescent="0.3">
      <c r="O289" s="22"/>
      <c r="Q289" s="10"/>
      <c r="T289" s="2"/>
      <c r="V289" s="2"/>
    </row>
    <row r="290" spans="15:22" x14ac:dyDescent="0.3">
      <c r="O290" s="22"/>
      <c r="Q290" s="10"/>
      <c r="T290" s="2"/>
      <c r="V290" s="2"/>
    </row>
    <row r="291" spans="15:22" x14ac:dyDescent="0.3">
      <c r="O291" s="22"/>
      <c r="Q291" s="10"/>
      <c r="T291" s="2"/>
      <c r="V291" s="2"/>
    </row>
    <row r="292" spans="15:22" x14ac:dyDescent="0.3">
      <c r="O292" s="22"/>
      <c r="Q292" s="10"/>
      <c r="T292" s="2"/>
      <c r="V292" s="2"/>
    </row>
    <row r="293" spans="15:22" x14ac:dyDescent="0.3">
      <c r="O293" s="22"/>
      <c r="Q293" s="10"/>
      <c r="T293" s="2"/>
      <c r="V293" s="2"/>
    </row>
    <row r="294" spans="15:22" x14ac:dyDescent="0.3">
      <c r="O294" s="22"/>
      <c r="Q294" s="10"/>
      <c r="T294" s="2"/>
      <c r="V294" s="2"/>
    </row>
    <row r="295" spans="15:22" x14ac:dyDescent="0.3">
      <c r="O295" s="22"/>
      <c r="Q295" s="10"/>
      <c r="T295" s="2"/>
      <c r="V295" s="2"/>
    </row>
    <row r="296" spans="15:22" x14ac:dyDescent="0.3">
      <c r="O296" s="22"/>
      <c r="Q296" s="10"/>
      <c r="T296" s="2"/>
      <c r="V296" s="2"/>
    </row>
    <row r="297" spans="15:22" x14ac:dyDescent="0.3">
      <c r="O297" s="22"/>
      <c r="Q297" s="10"/>
      <c r="T297" s="2"/>
      <c r="V297" s="2"/>
    </row>
    <row r="298" spans="15:22" x14ac:dyDescent="0.3">
      <c r="O298" s="22"/>
      <c r="Q298" s="10"/>
      <c r="T298" s="2"/>
      <c r="V298" s="2"/>
    </row>
    <row r="299" spans="15:22" x14ac:dyDescent="0.3">
      <c r="O299" s="22"/>
      <c r="Q299" s="10"/>
      <c r="T299" s="2"/>
      <c r="V299" s="2"/>
    </row>
    <row r="300" spans="15:22" x14ac:dyDescent="0.3">
      <c r="O300" s="22"/>
      <c r="Q300" s="10"/>
      <c r="T300" s="2"/>
      <c r="V300" s="2"/>
    </row>
    <row r="301" spans="15:22" x14ac:dyDescent="0.3">
      <c r="O301" s="22"/>
      <c r="Q301" s="10"/>
      <c r="T301" s="2"/>
      <c r="V301" s="2"/>
    </row>
    <row r="302" spans="15:22" x14ac:dyDescent="0.3">
      <c r="O302" s="22"/>
      <c r="Q302" s="10"/>
      <c r="T302" s="2"/>
      <c r="V302" s="2"/>
    </row>
    <row r="303" spans="15:22" x14ac:dyDescent="0.3">
      <c r="O303" s="22"/>
      <c r="Q303" s="10"/>
      <c r="T303" s="2"/>
      <c r="V303" s="2"/>
    </row>
    <row r="304" spans="15:22" x14ac:dyDescent="0.3">
      <c r="O304" s="22"/>
      <c r="Q304" s="10"/>
      <c r="T304" s="2"/>
      <c r="V304" s="2"/>
    </row>
    <row r="305" spans="15:22" x14ac:dyDescent="0.3">
      <c r="O305" s="22"/>
      <c r="Q305" s="10"/>
      <c r="T305" s="2"/>
      <c r="V305" s="2"/>
    </row>
    <row r="306" spans="15:22" x14ac:dyDescent="0.3">
      <c r="O306" s="22"/>
      <c r="Q306" s="10"/>
      <c r="T306" s="2"/>
      <c r="V306" s="2"/>
    </row>
    <row r="307" spans="15:22" x14ac:dyDescent="0.3">
      <c r="O307" s="22"/>
      <c r="Q307" s="10"/>
      <c r="T307" s="2"/>
      <c r="V307" s="2"/>
    </row>
    <row r="308" spans="15:22" x14ac:dyDescent="0.3">
      <c r="O308" s="22"/>
      <c r="Q308" s="10"/>
      <c r="T308" s="2"/>
      <c r="V308" s="2"/>
    </row>
    <row r="309" spans="15:22" x14ac:dyDescent="0.3">
      <c r="O309" s="22"/>
      <c r="Q309" s="10"/>
      <c r="T309" s="2"/>
      <c r="V309" s="2"/>
    </row>
    <row r="310" spans="15:22" x14ac:dyDescent="0.3">
      <c r="O310" s="22"/>
      <c r="Q310" s="10"/>
      <c r="T310" s="2"/>
      <c r="V310" s="2"/>
    </row>
    <row r="311" spans="15:22" x14ac:dyDescent="0.3">
      <c r="O311" s="22"/>
      <c r="Q311" s="10"/>
      <c r="T311" s="2"/>
      <c r="V311" s="2"/>
    </row>
    <row r="312" spans="15:22" x14ac:dyDescent="0.3">
      <c r="O312" s="22"/>
      <c r="Q312" s="10"/>
      <c r="T312" s="2"/>
      <c r="V312" s="2"/>
    </row>
    <row r="313" spans="15:22" x14ac:dyDescent="0.3">
      <c r="O313" s="22"/>
      <c r="Q313" s="10"/>
      <c r="T313" s="2"/>
      <c r="V313" s="2"/>
    </row>
    <row r="314" spans="15:22" x14ac:dyDescent="0.3">
      <c r="O314" s="22"/>
      <c r="Q314" s="10"/>
      <c r="T314" s="2"/>
      <c r="V314" s="2"/>
    </row>
    <row r="315" spans="15:22" x14ac:dyDescent="0.3">
      <c r="O315" s="22"/>
      <c r="Q315" s="10"/>
      <c r="T315" s="2"/>
      <c r="V315" s="2"/>
    </row>
    <row r="316" spans="15:22" x14ac:dyDescent="0.3">
      <c r="O316" s="22"/>
      <c r="Q316" s="10"/>
      <c r="T316" s="2"/>
      <c r="V316" s="2"/>
    </row>
    <row r="317" spans="15:22" x14ac:dyDescent="0.3">
      <c r="O317" s="22"/>
      <c r="Q317" s="10"/>
      <c r="T317" s="2"/>
      <c r="V317" s="2"/>
    </row>
    <row r="318" spans="15:22" x14ac:dyDescent="0.3">
      <c r="O318" s="22"/>
      <c r="Q318" s="10"/>
      <c r="T318" s="2"/>
      <c r="V318" s="2"/>
    </row>
    <row r="319" spans="15:22" x14ac:dyDescent="0.3">
      <c r="O319" s="22"/>
      <c r="Q319" s="10"/>
      <c r="T319" s="2"/>
      <c r="V319" s="2"/>
    </row>
    <row r="320" spans="15:22" x14ac:dyDescent="0.3">
      <c r="O320" s="22"/>
      <c r="Q320" s="10"/>
      <c r="T320" s="2"/>
      <c r="V320" s="2"/>
    </row>
    <row r="321" spans="15:22" x14ac:dyDescent="0.3">
      <c r="O321" s="22"/>
      <c r="Q321" s="10"/>
      <c r="T321" s="2"/>
      <c r="V321" s="2"/>
    </row>
    <row r="322" spans="15:22" x14ac:dyDescent="0.3">
      <c r="O322" s="22"/>
      <c r="Q322" s="10"/>
      <c r="T322" s="2"/>
      <c r="V322" s="2"/>
    </row>
    <row r="323" spans="15:22" x14ac:dyDescent="0.3">
      <c r="O323" s="22"/>
      <c r="Q323" s="10"/>
      <c r="T323" s="2"/>
      <c r="V323" s="2"/>
    </row>
    <row r="324" spans="15:22" x14ac:dyDescent="0.3">
      <c r="O324" s="22"/>
      <c r="Q324" s="10"/>
      <c r="T324" s="2"/>
      <c r="V324" s="2"/>
    </row>
    <row r="325" spans="15:22" x14ac:dyDescent="0.3">
      <c r="O325" s="22"/>
      <c r="Q325" s="10"/>
      <c r="T325" s="2"/>
      <c r="V325" s="2"/>
    </row>
    <row r="326" spans="15:22" x14ac:dyDescent="0.3">
      <c r="O326" s="22"/>
      <c r="Q326" s="10"/>
      <c r="T326" s="2"/>
      <c r="V326" s="2"/>
    </row>
    <row r="327" spans="15:22" x14ac:dyDescent="0.3">
      <c r="O327" s="22"/>
      <c r="Q327" s="10"/>
      <c r="T327" s="2"/>
      <c r="V327" s="2"/>
    </row>
    <row r="328" spans="15:22" x14ac:dyDescent="0.3">
      <c r="O328" s="22"/>
      <c r="Q328" s="10"/>
      <c r="T328" s="2"/>
      <c r="V328" s="2"/>
    </row>
    <row r="329" spans="15:22" x14ac:dyDescent="0.3">
      <c r="O329" s="22"/>
      <c r="Q329" s="10"/>
      <c r="T329" s="2"/>
      <c r="V329" s="2"/>
    </row>
    <row r="330" spans="15:22" x14ac:dyDescent="0.3">
      <c r="O330" s="22"/>
      <c r="Q330" s="10"/>
      <c r="T330" s="2"/>
      <c r="V330" s="2"/>
    </row>
    <row r="331" spans="15:22" x14ac:dyDescent="0.3">
      <c r="O331" s="22"/>
      <c r="Q331" s="10"/>
      <c r="T331" s="2"/>
      <c r="V331" s="2"/>
    </row>
    <row r="332" spans="15:22" x14ac:dyDescent="0.3">
      <c r="O332" s="22"/>
      <c r="Q332" s="10"/>
      <c r="T332" s="2"/>
      <c r="V332" s="2"/>
    </row>
    <row r="333" spans="15:22" x14ac:dyDescent="0.3">
      <c r="O333" s="22"/>
      <c r="Q333" s="10"/>
      <c r="T333" s="2"/>
      <c r="V333" s="2"/>
    </row>
    <row r="334" spans="15:22" x14ac:dyDescent="0.3">
      <c r="O334" s="22"/>
      <c r="Q334" s="10"/>
      <c r="T334" s="2"/>
      <c r="V334" s="2"/>
    </row>
    <row r="335" spans="15:22" x14ac:dyDescent="0.3">
      <c r="O335" s="22"/>
      <c r="Q335" s="10"/>
      <c r="T335" s="2"/>
      <c r="V335" s="2"/>
    </row>
    <row r="336" spans="15:22" x14ac:dyDescent="0.3">
      <c r="O336" s="22"/>
      <c r="Q336" s="10"/>
      <c r="T336" s="2"/>
      <c r="V336" s="2"/>
    </row>
    <row r="337" spans="15:22" x14ac:dyDescent="0.3">
      <c r="O337" s="22"/>
      <c r="Q337" s="10"/>
      <c r="T337" s="2"/>
      <c r="V337" s="2"/>
    </row>
    <row r="338" spans="15:22" x14ac:dyDescent="0.3">
      <c r="O338" s="22"/>
      <c r="Q338" s="10"/>
      <c r="T338" s="2"/>
      <c r="V338" s="2"/>
    </row>
    <row r="339" spans="15:22" x14ac:dyDescent="0.3">
      <c r="O339" s="22"/>
      <c r="Q339" s="10"/>
      <c r="T339" s="2"/>
      <c r="V339" s="2"/>
    </row>
    <row r="340" spans="15:22" x14ac:dyDescent="0.3">
      <c r="O340" s="22"/>
      <c r="Q340" s="10"/>
      <c r="T340" s="2"/>
      <c r="V340" s="2"/>
    </row>
    <row r="341" spans="15:22" x14ac:dyDescent="0.3">
      <c r="O341" s="22"/>
      <c r="Q341" s="10"/>
      <c r="T341" s="2"/>
      <c r="V341" s="2"/>
    </row>
    <row r="342" spans="15:22" x14ac:dyDescent="0.3">
      <c r="O342" s="22"/>
      <c r="Q342" s="10"/>
      <c r="T342" s="2"/>
      <c r="V342" s="2"/>
    </row>
    <row r="343" spans="15:22" x14ac:dyDescent="0.3">
      <c r="O343" s="22"/>
      <c r="Q343" s="10"/>
      <c r="T343" s="2"/>
      <c r="V343" s="2"/>
    </row>
    <row r="344" spans="15:22" x14ac:dyDescent="0.3">
      <c r="O344" s="22"/>
      <c r="Q344" s="10"/>
      <c r="T344" s="2"/>
      <c r="V344" s="2"/>
    </row>
    <row r="345" spans="15:22" x14ac:dyDescent="0.3">
      <c r="O345" s="22"/>
      <c r="Q345" s="10"/>
      <c r="T345" s="2"/>
      <c r="V345" s="2"/>
    </row>
    <row r="346" spans="15:22" x14ac:dyDescent="0.3">
      <c r="O346" s="22"/>
      <c r="Q346" s="10"/>
      <c r="T346" s="2"/>
      <c r="V346" s="2"/>
    </row>
    <row r="347" spans="15:22" x14ac:dyDescent="0.3">
      <c r="O347" s="22"/>
      <c r="Q347" s="10"/>
      <c r="T347" s="2"/>
      <c r="V347" s="2"/>
    </row>
    <row r="348" spans="15:22" x14ac:dyDescent="0.3">
      <c r="O348" s="22"/>
      <c r="Q348" s="10"/>
      <c r="T348" s="2"/>
      <c r="V348" s="2"/>
    </row>
    <row r="349" spans="15:22" x14ac:dyDescent="0.3">
      <c r="O349" s="22"/>
      <c r="Q349" s="10"/>
      <c r="T349" s="2"/>
      <c r="V349" s="2"/>
    </row>
    <row r="350" spans="15:22" x14ac:dyDescent="0.3">
      <c r="O350" s="22"/>
      <c r="Q350" s="10"/>
      <c r="T350" s="2"/>
      <c r="V350" s="2"/>
    </row>
    <row r="351" spans="15:22" x14ac:dyDescent="0.3">
      <c r="O351" s="22"/>
      <c r="Q351" s="10"/>
      <c r="T351" s="2"/>
      <c r="V351" s="2"/>
    </row>
    <row r="352" spans="15:22" x14ac:dyDescent="0.3">
      <c r="O352" s="22"/>
      <c r="Q352" s="10"/>
      <c r="T352" s="2"/>
      <c r="V352" s="2"/>
    </row>
    <row r="353" spans="15:22" x14ac:dyDescent="0.3">
      <c r="O353" s="22"/>
      <c r="Q353" s="10"/>
      <c r="T353" s="2"/>
      <c r="V353" s="2"/>
    </row>
    <row r="354" spans="15:22" x14ac:dyDescent="0.3">
      <c r="O354" s="22"/>
      <c r="Q354" s="10"/>
      <c r="T354" s="2"/>
      <c r="V354" s="2"/>
    </row>
    <row r="355" spans="15:22" x14ac:dyDescent="0.3">
      <c r="O355" s="22"/>
      <c r="Q355" s="10"/>
      <c r="T355" s="2"/>
      <c r="V355" s="2"/>
    </row>
    <row r="356" spans="15:22" x14ac:dyDescent="0.3">
      <c r="O356" s="22"/>
      <c r="Q356" s="10"/>
      <c r="T356" s="2"/>
      <c r="V356" s="2"/>
    </row>
    <row r="357" spans="15:22" x14ac:dyDescent="0.3">
      <c r="O357" s="22"/>
      <c r="Q357" s="10"/>
      <c r="T357" s="2"/>
      <c r="V357" s="2"/>
    </row>
    <row r="358" spans="15:22" x14ac:dyDescent="0.3">
      <c r="O358" s="22"/>
      <c r="Q358" s="10"/>
      <c r="T358" s="2"/>
      <c r="V358" s="2"/>
    </row>
    <row r="359" spans="15:22" x14ac:dyDescent="0.3">
      <c r="O359" s="22"/>
      <c r="Q359" s="10"/>
      <c r="T359" s="2"/>
      <c r="V359" s="2"/>
    </row>
    <row r="360" spans="15:22" x14ac:dyDescent="0.3">
      <c r="O360" s="22"/>
      <c r="Q360" s="10"/>
      <c r="T360" s="2"/>
      <c r="V360" s="2"/>
    </row>
    <row r="361" spans="15:22" x14ac:dyDescent="0.3">
      <c r="O361" s="22"/>
      <c r="Q361" s="10"/>
      <c r="T361" s="2"/>
      <c r="V361" s="2"/>
    </row>
    <row r="362" spans="15:22" x14ac:dyDescent="0.3">
      <c r="O362" s="22"/>
      <c r="Q362" s="10"/>
      <c r="T362" s="2"/>
      <c r="V362" s="2"/>
    </row>
    <row r="363" spans="15:22" x14ac:dyDescent="0.3">
      <c r="O363" s="22"/>
      <c r="Q363" s="10"/>
      <c r="T363" s="2"/>
      <c r="V363" s="2"/>
    </row>
    <row r="364" spans="15:22" x14ac:dyDescent="0.3">
      <c r="O364" s="22"/>
      <c r="Q364" s="10"/>
      <c r="T364" s="2"/>
      <c r="V364" s="2"/>
    </row>
    <row r="365" spans="15:22" x14ac:dyDescent="0.3">
      <c r="O365" s="22"/>
      <c r="Q365" s="10"/>
      <c r="T365" s="2"/>
      <c r="V365" s="2"/>
    </row>
    <row r="366" spans="15:22" x14ac:dyDescent="0.3">
      <c r="O366" s="22"/>
      <c r="Q366" s="10"/>
      <c r="T366" s="2"/>
      <c r="V366" s="2"/>
    </row>
    <row r="367" spans="15:22" x14ac:dyDescent="0.3">
      <c r="O367" s="22"/>
      <c r="Q367" s="10"/>
      <c r="T367" s="2"/>
      <c r="V367" s="2"/>
    </row>
    <row r="368" spans="15:22" x14ac:dyDescent="0.3">
      <c r="O368" s="22"/>
      <c r="Q368" s="10"/>
      <c r="T368" s="2"/>
      <c r="V368" s="2"/>
    </row>
    <row r="369" spans="15:22" x14ac:dyDescent="0.3">
      <c r="O369" s="22"/>
      <c r="Q369" s="10"/>
      <c r="T369" s="2"/>
      <c r="V369" s="2"/>
    </row>
    <row r="370" spans="15:22" x14ac:dyDescent="0.3">
      <c r="O370" s="22"/>
      <c r="Q370" s="10"/>
      <c r="T370" s="2"/>
      <c r="V370" s="2"/>
    </row>
    <row r="371" spans="15:22" x14ac:dyDescent="0.3">
      <c r="O371" s="22"/>
      <c r="Q371" s="10"/>
      <c r="T371" s="2"/>
      <c r="V371" s="2"/>
    </row>
    <row r="372" spans="15:22" x14ac:dyDescent="0.3">
      <c r="O372" s="22"/>
      <c r="Q372" s="10"/>
      <c r="T372" s="2"/>
      <c r="V372" s="2"/>
    </row>
    <row r="373" spans="15:22" x14ac:dyDescent="0.3">
      <c r="O373" s="22"/>
      <c r="Q373" s="10"/>
      <c r="T373" s="2"/>
      <c r="V373" s="2"/>
    </row>
    <row r="374" spans="15:22" x14ac:dyDescent="0.3">
      <c r="O374" s="22"/>
      <c r="Q374" s="10"/>
      <c r="T374" s="2"/>
      <c r="V374" s="2"/>
    </row>
    <row r="375" spans="15:22" x14ac:dyDescent="0.3">
      <c r="O375" s="22"/>
      <c r="Q375" s="10"/>
      <c r="T375" s="2"/>
      <c r="V375" s="2"/>
    </row>
    <row r="376" spans="15:22" x14ac:dyDescent="0.3">
      <c r="O376" s="22"/>
      <c r="Q376" s="10"/>
      <c r="T376" s="2"/>
      <c r="V376" s="2"/>
    </row>
    <row r="377" spans="15:22" x14ac:dyDescent="0.3">
      <c r="O377" s="22"/>
      <c r="Q377" s="10"/>
      <c r="T377" s="2"/>
      <c r="V377" s="2"/>
    </row>
    <row r="378" spans="15:22" x14ac:dyDescent="0.3">
      <c r="O378" s="22"/>
      <c r="Q378" s="10"/>
      <c r="T378" s="2"/>
      <c r="V378" s="2"/>
    </row>
    <row r="379" spans="15:22" x14ac:dyDescent="0.3">
      <c r="O379" s="22"/>
      <c r="Q379" s="10"/>
      <c r="T379" s="2"/>
      <c r="V379" s="2"/>
    </row>
    <row r="380" spans="15:22" x14ac:dyDescent="0.3">
      <c r="O380" s="22"/>
      <c r="Q380" s="10"/>
      <c r="T380" s="2"/>
      <c r="V380" s="2"/>
    </row>
    <row r="381" spans="15:22" x14ac:dyDescent="0.3">
      <c r="O381" s="22"/>
      <c r="Q381" s="10"/>
      <c r="T381" s="2"/>
      <c r="V381" s="2"/>
    </row>
    <row r="382" spans="15:22" x14ac:dyDescent="0.3">
      <c r="O382" s="22"/>
      <c r="Q382" s="10"/>
      <c r="T382" s="2"/>
      <c r="V382" s="2"/>
    </row>
    <row r="383" spans="15:22" x14ac:dyDescent="0.3">
      <c r="O383" s="22"/>
      <c r="Q383" s="10"/>
      <c r="T383" s="2"/>
      <c r="V383" s="2"/>
    </row>
    <row r="384" spans="15:22" x14ac:dyDescent="0.3">
      <c r="O384" s="22"/>
      <c r="Q384" s="10"/>
      <c r="T384" s="2"/>
      <c r="V384" s="2"/>
    </row>
    <row r="385" spans="15:22" x14ac:dyDescent="0.3">
      <c r="O385" s="22"/>
      <c r="Q385" s="10"/>
      <c r="T385" s="2"/>
      <c r="V385" s="2"/>
    </row>
    <row r="386" spans="15:22" x14ac:dyDescent="0.3">
      <c r="O386" s="22"/>
      <c r="Q386" s="10"/>
      <c r="T386" s="2"/>
      <c r="V386" s="2"/>
    </row>
    <row r="387" spans="15:22" x14ac:dyDescent="0.3">
      <c r="O387" s="22"/>
      <c r="Q387" s="10"/>
      <c r="T387" s="2"/>
      <c r="V387" s="2"/>
    </row>
    <row r="388" spans="15:22" x14ac:dyDescent="0.3">
      <c r="O388" s="22"/>
      <c r="Q388" s="10"/>
      <c r="T388" s="2"/>
      <c r="V388" s="2"/>
    </row>
    <row r="389" spans="15:22" x14ac:dyDescent="0.3">
      <c r="O389" s="22"/>
      <c r="Q389" s="10"/>
      <c r="T389" s="2"/>
      <c r="V389" s="2"/>
    </row>
    <row r="390" spans="15:22" x14ac:dyDescent="0.3">
      <c r="O390" s="22"/>
      <c r="Q390" s="10"/>
      <c r="T390" s="2"/>
      <c r="V390" s="2"/>
    </row>
    <row r="391" spans="15:22" x14ac:dyDescent="0.3">
      <c r="O391" s="22"/>
      <c r="Q391" s="10"/>
      <c r="T391" s="2"/>
      <c r="V391" s="2"/>
    </row>
    <row r="392" spans="15:22" x14ac:dyDescent="0.3">
      <c r="O392" s="22"/>
      <c r="Q392" s="10"/>
      <c r="T392" s="2"/>
      <c r="V392" s="2"/>
    </row>
    <row r="393" spans="15:22" x14ac:dyDescent="0.3">
      <c r="O393" s="22"/>
      <c r="Q393" s="10"/>
      <c r="T393" s="2"/>
      <c r="V393" s="2"/>
    </row>
    <row r="394" spans="15:22" x14ac:dyDescent="0.3">
      <c r="O394" s="22"/>
      <c r="Q394" s="10"/>
      <c r="T394" s="2"/>
      <c r="V394" s="2"/>
    </row>
    <row r="395" spans="15:22" x14ac:dyDescent="0.3">
      <c r="O395" s="22"/>
      <c r="Q395" s="10"/>
      <c r="T395" s="2"/>
      <c r="V395" s="2"/>
    </row>
    <row r="396" spans="15:22" x14ac:dyDescent="0.3">
      <c r="O396" s="22"/>
      <c r="Q396" s="10"/>
      <c r="T396" s="2"/>
      <c r="V396" s="2"/>
    </row>
    <row r="397" spans="15:22" x14ac:dyDescent="0.3">
      <c r="O397" s="22"/>
      <c r="Q397" s="10"/>
      <c r="T397" s="2"/>
      <c r="V397" s="2"/>
    </row>
    <row r="398" spans="15:22" x14ac:dyDescent="0.3">
      <c r="O398" s="22"/>
      <c r="Q398" s="10"/>
      <c r="T398" s="2"/>
      <c r="V398" s="2"/>
    </row>
    <row r="399" spans="15:22" x14ac:dyDescent="0.3">
      <c r="O399" s="22"/>
      <c r="Q399" s="10"/>
      <c r="T399" s="2"/>
      <c r="V399" s="2"/>
    </row>
    <row r="400" spans="15:22" x14ac:dyDescent="0.3">
      <c r="O400" s="22"/>
      <c r="Q400" s="10"/>
      <c r="T400" s="2"/>
      <c r="V400" s="2"/>
    </row>
    <row r="401" spans="15:22" x14ac:dyDescent="0.3">
      <c r="O401" s="22"/>
      <c r="Q401" s="10"/>
      <c r="T401" s="2"/>
      <c r="V401" s="2"/>
    </row>
    <row r="402" spans="15:22" x14ac:dyDescent="0.3">
      <c r="O402" s="22"/>
      <c r="Q402" s="10"/>
      <c r="T402" s="2"/>
      <c r="V402" s="2"/>
    </row>
    <row r="403" spans="15:22" x14ac:dyDescent="0.3">
      <c r="O403" s="22"/>
      <c r="Q403" s="10"/>
      <c r="T403" s="2"/>
      <c r="V403" s="2"/>
    </row>
    <row r="404" spans="15:22" x14ac:dyDescent="0.3">
      <c r="O404" s="22"/>
      <c r="Q404" s="10"/>
      <c r="T404" s="2"/>
      <c r="V404" s="2"/>
    </row>
    <row r="405" spans="15:22" x14ac:dyDescent="0.3">
      <c r="O405" s="22"/>
      <c r="Q405" s="10"/>
      <c r="T405" s="2"/>
      <c r="V405" s="2"/>
    </row>
    <row r="406" spans="15:22" x14ac:dyDescent="0.3">
      <c r="O406" s="22"/>
      <c r="Q406" s="10"/>
      <c r="T406" s="2"/>
      <c r="V406" s="2"/>
    </row>
    <row r="407" spans="15:22" x14ac:dyDescent="0.3">
      <c r="O407" s="22"/>
      <c r="Q407" s="10"/>
      <c r="T407" s="2"/>
      <c r="V407" s="2"/>
    </row>
    <row r="408" spans="15:22" x14ac:dyDescent="0.3">
      <c r="O408" s="22"/>
      <c r="Q408" s="10"/>
      <c r="T408" s="2"/>
      <c r="V408" s="2"/>
    </row>
    <row r="409" spans="15:22" x14ac:dyDescent="0.3">
      <c r="O409" s="22"/>
      <c r="Q409" s="10"/>
      <c r="T409" s="2"/>
      <c r="V409" s="2"/>
    </row>
    <row r="410" spans="15:22" x14ac:dyDescent="0.3">
      <c r="O410" s="22"/>
      <c r="Q410" s="10"/>
      <c r="T410" s="2"/>
      <c r="V410" s="2"/>
    </row>
    <row r="411" spans="15:22" x14ac:dyDescent="0.3">
      <c r="O411" s="22"/>
      <c r="Q411" s="10"/>
      <c r="T411" s="2"/>
      <c r="V411" s="2"/>
    </row>
    <row r="412" spans="15:22" x14ac:dyDescent="0.3">
      <c r="O412" s="22"/>
      <c r="Q412" s="10"/>
      <c r="T412" s="2"/>
      <c r="V412" s="2"/>
    </row>
    <row r="413" spans="15:22" x14ac:dyDescent="0.3">
      <c r="O413" s="22"/>
      <c r="Q413" s="10"/>
      <c r="T413" s="2"/>
      <c r="V413" s="2"/>
    </row>
    <row r="414" spans="15:22" x14ac:dyDescent="0.3">
      <c r="O414" s="22"/>
      <c r="Q414" s="10"/>
      <c r="T414" s="2"/>
      <c r="V414" s="2"/>
    </row>
    <row r="415" spans="15:22" x14ac:dyDescent="0.3">
      <c r="O415" s="22"/>
      <c r="Q415" s="10"/>
      <c r="T415" s="2"/>
      <c r="V415" s="2"/>
    </row>
    <row r="416" spans="15:22" x14ac:dyDescent="0.3">
      <c r="O416" s="22"/>
      <c r="Q416" s="10"/>
      <c r="T416" s="2"/>
      <c r="V416" s="2"/>
    </row>
    <row r="417" spans="15:22" x14ac:dyDescent="0.3">
      <c r="O417" s="22"/>
      <c r="Q417" s="10"/>
      <c r="T417" s="2"/>
      <c r="V417" s="2"/>
    </row>
    <row r="418" spans="15:22" x14ac:dyDescent="0.3">
      <c r="O418" s="22"/>
      <c r="Q418" s="10"/>
      <c r="T418" s="2"/>
      <c r="V418" s="2"/>
    </row>
    <row r="419" spans="15:22" x14ac:dyDescent="0.3">
      <c r="O419" s="22"/>
      <c r="Q419" s="10"/>
      <c r="T419" s="2"/>
      <c r="V419" s="2"/>
    </row>
    <row r="420" spans="15:22" x14ac:dyDescent="0.3">
      <c r="O420" s="22"/>
      <c r="Q420" s="10"/>
      <c r="T420" s="2"/>
      <c r="V420" s="2"/>
    </row>
    <row r="421" spans="15:22" x14ac:dyDescent="0.3">
      <c r="O421" s="22"/>
      <c r="Q421" s="10"/>
      <c r="T421" s="2"/>
      <c r="V421" s="2"/>
    </row>
    <row r="422" spans="15:22" x14ac:dyDescent="0.3">
      <c r="O422" s="22"/>
      <c r="Q422" s="10"/>
      <c r="T422" s="2"/>
      <c r="V422" s="2"/>
    </row>
    <row r="423" spans="15:22" x14ac:dyDescent="0.3">
      <c r="O423" s="22"/>
      <c r="Q423" s="10"/>
      <c r="T423" s="2"/>
      <c r="V423" s="2"/>
    </row>
    <row r="424" spans="15:22" x14ac:dyDescent="0.3">
      <c r="O424" s="22"/>
      <c r="Q424" s="10"/>
      <c r="T424" s="2"/>
      <c r="V424" s="2"/>
    </row>
    <row r="425" spans="15:22" x14ac:dyDescent="0.3">
      <c r="O425" s="22"/>
      <c r="Q425" s="10"/>
      <c r="T425" s="2"/>
      <c r="V425" s="2"/>
    </row>
    <row r="426" spans="15:22" x14ac:dyDescent="0.3">
      <c r="O426" s="22"/>
      <c r="Q426" s="10"/>
      <c r="T426" s="2"/>
      <c r="V426" s="2"/>
    </row>
    <row r="427" spans="15:22" x14ac:dyDescent="0.3">
      <c r="O427" s="22"/>
      <c r="Q427" s="10"/>
      <c r="T427" s="2"/>
      <c r="V427" s="2"/>
    </row>
    <row r="428" spans="15:22" x14ac:dyDescent="0.3">
      <c r="O428" s="22"/>
      <c r="Q428" s="10"/>
      <c r="T428" s="2"/>
      <c r="V428" s="2"/>
    </row>
    <row r="429" spans="15:22" x14ac:dyDescent="0.3">
      <c r="O429" s="22"/>
      <c r="Q429" s="10"/>
      <c r="T429" s="2"/>
      <c r="V429" s="2"/>
    </row>
    <row r="430" spans="15:22" x14ac:dyDescent="0.3">
      <c r="O430" s="22"/>
      <c r="Q430" s="10"/>
      <c r="T430" s="2"/>
      <c r="V430" s="2"/>
    </row>
    <row r="431" spans="15:22" x14ac:dyDescent="0.3">
      <c r="O431" s="22"/>
      <c r="Q431" s="10"/>
      <c r="T431" s="2"/>
      <c r="V431" s="2"/>
    </row>
    <row r="432" spans="15:22" x14ac:dyDescent="0.3">
      <c r="O432" s="22"/>
      <c r="Q432" s="10"/>
      <c r="T432" s="2"/>
      <c r="V432" s="2"/>
    </row>
    <row r="433" spans="15:22" x14ac:dyDescent="0.3">
      <c r="O433" s="22"/>
      <c r="Q433" s="10"/>
      <c r="T433" s="2"/>
      <c r="V433" s="2"/>
    </row>
    <row r="434" spans="15:22" x14ac:dyDescent="0.3">
      <c r="O434" s="22"/>
      <c r="Q434" s="10"/>
      <c r="T434" s="2"/>
      <c r="V434" s="2"/>
    </row>
    <row r="435" spans="15:22" x14ac:dyDescent="0.3">
      <c r="O435" s="22"/>
      <c r="Q435" s="10"/>
      <c r="T435" s="2"/>
      <c r="V435" s="2"/>
    </row>
    <row r="436" spans="15:22" x14ac:dyDescent="0.3">
      <c r="O436" s="22"/>
      <c r="Q436" s="10"/>
      <c r="T436" s="2"/>
      <c r="V436" s="2"/>
    </row>
    <row r="437" spans="15:22" x14ac:dyDescent="0.3">
      <c r="O437" s="22"/>
      <c r="Q437" s="10"/>
      <c r="T437" s="2"/>
      <c r="V437" s="2"/>
    </row>
    <row r="438" spans="15:22" x14ac:dyDescent="0.3">
      <c r="O438" s="22"/>
      <c r="Q438" s="10"/>
      <c r="T438" s="2"/>
      <c r="V438" s="2"/>
    </row>
    <row r="439" spans="15:22" x14ac:dyDescent="0.3">
      <c r="O439" s="22"/>
      <c r="Q439" s="10"/>
      <c r="T439" s="2"/>
      <c r="V439" s="2"/>
    </row>
    <row r="440" spans="15:22" x14ac:dyDescent="0.3">
      <c r="O440" s="22"/>
      <c r="Q440" s="10"/>
      <c r="T440" s="2"/>
      <c r="V440" s="2"/>
    </row>
    <row r="441" spans="15:22" x14ac:dyDescent="0.3">
      <c r="O441" s="22"/>
      <c r="Q441" s="10"/>
      <c r="T441" s="2"/>
      <c r="V441" s="2"/>
    </row>
    <row r="442" spans="15:22" x14ac:dyDescent="0.3">
      <c r="O442" s="22"/>
      <c r="Q442" s="10"/>
      <c r="T442" s="2"/>
      <c r="V442" s="2"/>
    </row>
    <row r="443" spans="15:22" x14ac:dyDescent="0.3">
      <c r="O443" s="22"/>
      <c r="Q443" s="10"/>
      <c r="T443" s="2"/>
      <c r="V443" s="2"/>
    </row>
    <row r="444" spans="15:22" x14ac:dyDescent="0.3">
      <c r="O444" s="22"/>
      <c r="Q444" s="10"/>
      <c r="T444" s="2"/>
      <c r="V444" s="2"/>
    </row>
    <row r="445" spans="15:22" x14ac:dyDescent="0.3">
      <c r="O445" s="22"/>
      <c r="Q445" s="10"/>
      <c r="T445" s="2"/>
      <c r="V445" s="2"/>
    </row>
    <row r="446" spans="15:22" x14ac:dyDescent="0.3">
      <c r="O446" s="22"/>
      <c r="Q446" s="10"/>
      <c r="T446" s="2"/>
      <c r="V446" s="2"/>
    </row>
    <row r="447" spans="15:22" x14ac:dyDescent="0.3">
      <c r="O447" s="22"/>
      <c r="Q447" s="10"/>
      <c r="T447" s="2"/>
      <c r="V447" s="2"/>
    </row>
    <row r="448" spans="15:22" x14ac:dyDescent="0.3">
      <c r="O448" s="22"/>
      <c r="Q448" s="10"/>
      <c r="T448" s="2"/>
      <c r="V448" s="2"/>
    </row>
    <row r="449" spans="15:22" x14ac:dyDescent="0.3">
      <c r="O449" s="22"/>
      <c r="Q449" s="10"/>
      <c r="T449" s="2"/>
      <c r="V449" s="2"/>
    </row>
    <row r="450" spans="15:22" x14ac:dyDescent="0.3">
      <c r="O450" s="22"/>
      <c r="Q450" s="10"/>
      <c r="T450" s="2"/>
      <c r="V450" s="2"/>
    </row>
    <row r="451" spans="15:22" x14ac:dyDescent="0.3">
      <c r="O451" s="22"/>
      <c r="Q451" s="10"/>
      <c r="T451" s="2"/>
      <c r="V451" s="2"/>
    </row>
    <row r="452" spans="15:22" x14ac:dyDescent="0.3">
      <c r="O452" s="22"/>
      <c r="Q452" s="10"/>
      <c r="T452" s="2"/>
      <c r="V452" s="2"/>
    </row>
    <row r="453" spans="15:22" x14ac:dyDescent="0.3">
      <c r="O453" s="22"/>
      <c r="Q453" s="10"/>
      <c r="T453" s="2"/>
      <c r="V453" s="2"/>
    </row>
    <row r="454" spans="15:22" x14ac:dyDescent="0.3">
      <c r="O454" s="22"/>
      <c r="Q454" s="10"/>
      <c r="T454" s="2"/>
      <c r="V454" s="2"/>
    </row>
    <row r="455" spans="15:22" x14ac:dyDescent="0.3">
      <c r="O455" s="22"/>
      <c r="Q455" s="10"/>
      <c r="T455" s="2"/>
      <c r="V455" s="2"/>
    </row>
    <row r="456" spans="15:22" x14ac:dyDescent="0.3">
      <c r="O456" s="22"/>
      <c r="Q456" s="10"/>
      <c r="T456" s="2"/>
      <c r="V456" s="2"/>
    </row>
    <row r="457" spans="15:22" x14ac:dyDescent="0.3">
      <c r="O457" s="22"/>
      <c r="Q457" s="10"/>
      <c r="T457" s="2"/>
      <c r="V457" s="2"/>
    </row>
    <row r="458" spans="15:22" x14ac:dyDescent="0.3">
      <c r="O458" s="22"/>
      <c r="Q458" s="10"/>
      <c r="T458" s="2"/>
      <c r="V458" s="2"/>
    </row>
    <row r="459" spans="15:22" x14ac:dyDescent="0.3">
      <c r="O459" s="22"/>
      <c r="Q459" s="10"/>
      <c r="T459" s="2"/>
      <c r="V459" s="2"/>
    </row>
    <row r="460" spans="15:22" x14ac:dyDescent="0.3">
      <c r="O460" s="22"/>
      <c r="Q460" s="10"/>
      <c r="T460" s="2"/>
      <c r="V460" s="2"/>
    </row>
    <row r="461" spans="15:22" x14ac:dyDescent="0.3">
      <c r="O461" s="22"/>
      <c r="Q461" s="10"/>
      <c r="T461" s="2"/>
      <c r="V461" s="2"/>
    </row>
    <row r="462" spans="15:22" x14ac:dyDescent="0.3">
      <c r="O462" s="22"/>
      <c r="Q462" s="10"/>
      <c r="T462" s="2"/>
      <c r="V462" s="2"/>
    </row>
    <row r="463" spans="15:22" x14ac:dyDescent="0.3">
      <c r="O463" s="22"/>
      <c r="Q463" s="10"/>
      <c r="T463" s="2"/>
      <c r="V463" s="2"/>
    </row>
    <row r="464" spans="15:22" x14ac:dyDescent="0.3">
      <c r="O464" s="22"/>
      <c r="Q464" s="10"/>
      <c r="T464" s="2"/>
      <c r="V464" s="2"/>
    </row>
    <row r="465" spans="15:22" x14ac:dyDescent="0.3">
      <c r="O465" s="22"/>
      <c r="Q465" s="10"/>
      <c r="T465" s="2"/>
      <c r="V465" s="2"/>
    </row>
    <row r="466" spans="15:22" x14ac:dyDescent="0.3">
      <c r="O466" s="22"/>
      <c r="Q466" s="10"/>
      <c r="T466" s="2"/>
      <c r="V466" s="2"/>
    </row>
    <row r="467" spans="15:22" x14ac:dyDescent="0.3">
      <c r="O467" s="22"/>
      <c r="Q467" s="10"/>
      <c r="T467" s="2"/>
      <c r="V467" s="2"/>
    </row>
    <row r="468" spans="15:22" x14ac:dyDescent="0.3">
      <c r="O468" s="22"/>
      <c r="Q468" s="10"/>
      <c r="T468" s="2"/>
      <c r="V468" s="2"/>
    </row>
    <row r="469" spans="15:22" x14ac:dyDescent="0.3">
      <c r="O469" s="22"/>
      <c r="Q469" s="10"/>
      <c r="T469" s="2"/>
      <c r="V469" s="2"/>
    </row>
    <row r="470" spans="15:22" x14ac:dyDescent="0.3">
      <c r="O470" s="22"/>
      <c r="Q470" s="10"/>
      <c r="T470" s="2"/>
      <c r="V470" s="2"/>
    </row>
    <row r="471" spans="15:22" x14ac:dyDescent="0.3">
      <c r="O471" s="22"/>
      <c r="Q471" s="10"/>
      <c r="T471" s="2"/>
      <c r="V471" s="2"/>
    </row>
    <row r="472" spans="15:22" x14ac:dyDescent="0.3">
      <c r="O472" s="22"/>
      <c r="Q472" s="10"/>
      <c r="T472" s="2"/>
      <c r="V472" s="2"/>
    </row>
    <row r="473" spans="15:22" x14ac:dyDescent="0.3">
      <c r="O473" s="22"/>
      <c r="Q473" s="10"/>
      <c r="T473" s="2"/>
      <c r="V473" s="2"/>
    </row>
    <row r="474" spans="15:22" x14ac:dyDescent="0.3">
      <c r="O474" s="22"/>
      <c r="Q474" s="10"/>
      <c r="T474" s="2"/>
      <c r="V474" s="2"/>
    </row>
    <row r="475" spans="15:22" x14ac:dyDescent="0.3">
      <c r="O475" s="22"/>
      <c r="Q475" s="10"/>
      <c r="T475" s="2"/>
      <c r="V475" s="2"/>
    </row>
    <row r="476" spans="15:22" x14ac:dyDescent="0.3">
      <c r="O476" s="22"/>
      <c r="Q476" s="10"/>
      <c r="T476" s="2"/>
      <c r="V476" s="2"/>
    </row>
    <row r="477" spans="15:22" x14ac:dyDescent="0.3">
      <c r="O477" s="22"/>
      <c r="Q477" s="10"/>
      <c r="T477" s="2"/>
      <c r="V477" s="2"/>
    </row>
    <row r="478" spans="15:22" x14ac:dyDescent="0.3">
      <c r="O478" s="22"/>
      <c r="Q478" s="10"/>
      <c r="T478" s="2"/>
      <c r="V478" s="2"/>
    </row>
    <row r="479" spans="15:22" x14ac:dyDescent="0.3">
      <c r="O479" s="22"/>
      <c r="Q479" s="10"/>
      <c r="T479" s="2"/>
      <c r="V479" s="2"/>
    </row>
    <row r="480" spans="15:22" x14ac:dyDescent="0.3">
      <c r="O480" s="22"/>
      <c r="Q480" s="10"/>
      <c r="T480" s="2"/>
      <c r="V480" s="2"/>
    </row>
    <row r="481" spans="15:22" x14ac:dyDescent="0.3">
      <c r="O481" s="22"/>
      <c r="Q481" s="10"/>
      <c r="T481" s="2"/>
      <c r="V481" s="2"/>
    </row>
    <row r="482" spans="15:22" x14ac:dyDescent="0.3">
      <c r="O482" s="22"/>
      <c r="Q482" s="10"/>
      <c r="T482" s="2"/>
      <c r="V482" s="2"/>
    </row>
    <row r="483" spans="15:22" x14ac:dyDescent="0.3">
      <c r="O483" s="22"/>
      <c r="Q483" s="10"/>
      <c r="T483" s="2"/>
      <c r="V483" s="2"/>
    </row>
    <row r="484" spans="15:22" x14ac:dyDescent="0.3">
      <c r="O484" s="22"/>
      <c r="Q484" s="10"/>
      <c r="T484" s="2"/>
      <c r="V484" s="2"/>
    </row>
    <row r="485" spans="15:22" x14ac:dyDescent="0.3">
      <c r="O485" s="22"/>
      <c r="Q485" s="10"/>
      <c r="T485" s="2"/>
      <c r="V485" s="2"/>
    </row>
    <row r="486" spans="15:22" x14ac:dyDescent="0.3">
      <c r="O486" s="22"/>
      <c r="Q486" s="10"/>
      <c r="T486" s="2"/>
      <c r="V486" s="2"/>
    </row>
    <row r="487" spans="15:22" x14ac:dyDescent="0.3">
      <c r="O487" s="22"/>
      <c r="Q487" s="10"/>
      <c r="T487" s="2"/>
      <c r="V487" s="2"/>
    </row>
    <row r="488" spans="15:22" x14ac:dyDescent="0.3">
      <c r="O488" s="22"/>
      <c r="Q488" s="10"/>
      <c r="T488" s="2"/>
      <c r="V488" s="2"/>
    </row>
    <row r="489" spans="15:22" x14ac:dyDescent="0.3">
      <c r="O489" s="22"/>
      <c r="Q489" s="10"/>
      <c r="T489" s="2"/>
      <c r="V489" s="2"/>
    </row>
    <row r="490" spans="15:22" x14ac:dyDescent="0.3">
      <c r="O490" s="22"/>
      <c r="Q490" s="10"/>
      <c r="T490" s="2"/>
      <c r="V490" s="2"/>
    </row>
    <row r="491" spans="15:22" x14ac:dyDescent="0.3">
      <c r="O491" s="22"/>
      <c r="Q491" s="10"/>
      <c r="T491" s="2"/>
      <c r="V491" s="2"/>
    </row>
    <row r="492" spans="15:22" x14ac:dyDescent="0.3">
      <c r="O492" s="22"/>
      <c r="Q492" s="10"/>
      <c r="T492" s="2"/>
      <c r="V492" s="2"/>
    </row>
    <row r="493" spans="15:22" x14ac:dyDescent="0.3">
      <c r="O493" s="22"/>
      <c r="Q493" s="10"/>
      <c r="T493" s="2"/>
      <c r="V493" s="2"/>
    </row>
    <row r="494" spans="15:22" x14ac:dyDescent="0.3">
      <c r="O494" s="22"/>
      <c r="Q494" s="10"/>
      <c r="T494" s="2"/>
      <c r="V494" s="2"/>
    </row>
    <row r="495" spans="15:22" x14ac:dyDescent="0.3">
      <c r="O495" s="22"/>
      <c r="Q495" s="10"/>
      <c r="T495" s="2"/>
      <c r="V495" s="2"/>
    </row>
    <row r="496" spans="15:22" x14ac:dyDescent="0.3">
      <c r="O496" s="22"/>
      <c r="Q496" s="10"/>
      <c r="T496" s="2"/>
      <c r="V496" s="2"/>
    </row>
    <row r="497" spans="15:22" x14ac:dyDescent="0.3">
      <c r="O497" s="22"/>
      <c r="Q497" s="10"/>
      <c r="T497" s="2"/>
      <c r="V497" s="2"/>
    </row>
    <row r="498" spans="15:22" x14ac:dyDescent="0.3">
      <c r="O498" s="22"/>
      <c r="Q498" s="10"/>
      <c r="T498" s="2"/>
      <c r="V498" s="2"/>
    </row>
    <row r="499" spans="15:22" x14ac:dyDescent="0.3">
      <c r="O499" s="22"/>
      <c r="Q499" s="10"/>
      <c r="T499" s="2"/>
      <c r="V499" s="2"/>
    </row>
    <row r="500" spans="15:22" x14ac:dyDescent="0.3">
      <c r="O500" s="22"/>
      <c r="Q500" s="10"/>
      <c r="T500" s="2"/>
      <c r="V500" s="2"/>
    </row>
    <row r="501" spans="15:22" x14ac:dyDescent="0.3">
      <c r="O501" s="22"/>
      <c r="Q501" s="10"/>
      <c r="T501" s="2"/>
      <c r="V501" s="2"/>
    </row>
    <row r="502" spans="15:22" x14ac:dyDescent="0.3">
      <c r="O502" s="22"/>
      <c r="Q502" s="10"/>
      <c r="T502" s="2"/>
      <c r="V502" s="2"/>
    </row>
    <row r="503" spans="15:22" x14ac:dyDescent="0.3">
      <c r="O503" s="22"/>
      <c r="Q503" s="10"/>
      <c r="T503" s="2"/>
      <c r="V503" s="2"/>
    </row>
    <row r="504" spans="15:22" x14ac:dyDescent="0.3">
      <c r="O504" s="22"/>
      <c r="Q504" s="10"/>
      <c r="T504" s="2"/>
      <c r="V504" s="2"/>
    </row>
    <row r="505" spans="15:22" x14ac:dyDescent="0.3">
      <c r="O505" s="22"/>
      <c r="Q505" s="10"/>
      <c r="T505" s="2"/>
      <c r="V505" s="2"/>
    </row>
    <row r="506" spans="15:22" x14ac:dyDescent="0.3">
      <c r="O506" s="22"/>
      <c r="Q506" s="10"/>
      <c r="T506" s="2"/>
      <c r="V506" s="2"/>
    </row>
    <row r="507" spans="15:22" x14ac:dyDescent="0.3">
      <c r="O507" s="22"/>
      <c r="Q507" s="10"/>
      <c r="T507" s="2"/>
      <c r="V507" s="2"/>
    </row>
    <row r="508" spans="15:22" x14ac:dyDescent="0.3">
      <c r="O508" s="22"/>
      <c r="Q508" s="10"/>
      <c r="T508" s="2"/>
      <c r="V508" s="2"/>
    </row>
    <row r="509" spans="15:22" x14ac:dyDescent="0.3">
      <c r="O509" s="22"/>
      <c r="Q509" s="10"/>
      <c r="T509" s="2"/>
      <c r="V509" s="2"/>
    </row>
    <row r="510" spans="15:22" x14ac:dyDescent="0.3">
      <c r="O510" s="22"/>
      <c r="Q510" s="10"/>
      <c r="T510" s="2"/>
      <c r="V510" s="2"/>
    </row>
    <row r="511" spans="15:22" x14ac:dyDescent="0.3">
      <c r="O511" s="22"/>
      <c r="Q511" s="10"/>
      <c r="T511" s="2"/>
      <c r="V511" s="2"/>
    </row>
    <row r="512" spans="15:22" x14ac:dyDescent="0.3">
      <c r="O512" s="22"/>
      <c r="Q512" s="10"/>
      <c r="T512" s="2"/>
      <c r="V512" s="2"/>
    </row>
    <row r="513" spans="15:26" x14ac:dyDescent="0.3">
      <c r="O513" s="22"/>
      <c r="Q513" s="10"/>
      <c r="T513" s="2"/>
      <c r="V513" s="2"/>
    </row>
    <row r="514" spans="15:26" x14ac:dyDescent="0.3">
      <c r="O514" s="22"/>
      <c r="Q514" s="10"/>
      <c r="T514" s="2"/>
      <c r="V514" s="2"/>
    </row>
    <row r="515" spans="15:26" x14ac:dyDescent="0.3">
      <c r="O515" s="22"/>
      <c r="Q515" s="10"/>
      <c r="T515" s="2"/>
      <c r="V515" s="2"/>
    </row>
    <row r="516" spans="15:26" x14ac:dyDescent="0.3">
      <c r="O516" s="22"/>
      <c r="Q516" s="10"/>
      <c r="T516" s="2"/>
      <c r="V516" s="2"/>
    </row>
    <row r="517" spans="15:26" x14ac:dyDescent="0.3">
      <c r="O517" s="22"/>
      <c r="Q517" s="10"/>
      <c r="T517" s="2"/>
      <c r="V517" s="2"/>
    </row>
    <row r="518" spans="15:26" x14ac:dyDescent="0.3">
      <c r="O518" s="22"/>
      <c r="Q518" s="10"/>
      <c r="T518" s="2"/>
      <c r="V518" s="2"/>
    </row>
    <row r="519" spans="15:26" x14ac:dyDescent="0.3">
      <c r="O519" s="22"/>
      <c r="Q519" s="10"/>
      <c r="T519" s="2"/>
      <c r="V519" s="2"/>
    </row>
    <row r="520" spans="15:26" x14ac:dyDescent="0.3">
      <c r="O520" s="22"/>
      <c r="Q520" s="10"/>
      <c r="T520" s="2"/>
      <c r="V520" s="2"/>
    </row>
    <row r="521" spans="15:26" x14ac:dyDescent="0.3">
      <c r="O521" s="22"/>
      <c r="Q521" s="10"/>
      <c r="T521" s="2"/>
      <c r="V521" s="2"/>
    </row>
    <row r="522" spans="15:26" x14ac:dyDescent="0.3">
      <c r="O522" s="22"/>
      <c r="Q522" s="10"/>
      <c r="T522" s="2"/>
      <c r="V522" s="2"/>
    </row>
    <row r="523" spans="15:26" x14ac:dyDescent="0.3">
      <c r="O523" s="22"/>
      <c r="Q523" s="10"/>
      <c r="T523" s="2"/>
      <c r="V523" s="2"/>
    </row>
    <row r="524" spans="15:26" x14ac:dyDescent="0.3">
      <c r="O524" s="22"/>
      <c r="Q524" s="10"/>
      <c r="T524" s="2"/>
      <c r="V524" s="2"/>
      <c r="Y524" s="1"/>
      <c r="Z524" s="3"/>
    </row>
    <row r="525" spans="15:26" x14ac:dyDescent="0.3">
      <c r="O525" s="22"/>
      <c r="Q525" s="10"/>
      <c r="T525" s="2"/>
      <c r="V525" s="2"/>
      <c r="Y525" s="1"/>
      <c r="Z525" s="3"/>
    </row>
    <row r="526" spans="15:26" x14ac:dyDescent="0.3">
      <c r="O526" s="22"/>
      <c r="Q526" s="10"/>
      <c r="T526" s="2"/>
      <c r="V526" s="2"/>
      <c r="Y526" s="1"/>
      <c r="Z526" s="3"/>
    </row>
    <row r="527" spans="15:26" x14ac:dyDescent="0.3">
      <c r="O527" s="22"/>
      <c r="Q527" s="10"/>
      <c r="T527" s="2"/>
      <c r="V527" s="2"/>
      <c r="Y527" s="1"/>
      <c r="Z527" s="3"/>
    </row>
    <row r="528" spans="15:26" x14ac:dyDescent="0.3">
      <c r="O528" s="22"/>
      <c r="Q528" s="10"/>
      <c r="T528" s="2"/>
      <c r="V528" s="2"/>
      <c r="Y528" s="1"/>
      <c r="Z528" s="3"/>
    </row>
    <row r="529" spans="15:26" x14ac:dyDescent="0.3">
      <c r="O529" s="22"/>
      <c r="Q529" s="10"/>
      <c r="T529" s="2"/>
      <c r="V529" s="2"/>
      <c r="Y529" s="1"/>
      <c r="Z529" s="3"/>
    </row>
    <row r="530" spans="15:26" x14ac:dyDescent="0.3">
      <c r="O530" s="22"/>
      <c r="Q530" s="10"/>
      <c r="T530" s="2"/>
      <c r="V530" s="2"/>
      <c r="Y530" s="1"/>
      <c r="Z530" s="3"/>
    </row>
    <row r="531" spans="15:26" x14ac:dyDescent="0.3">
      <c r="O531" s="22"/>
      <c r="Q531" s="10"/>
      <c r="T531" s="2"/>
      <c r="V531" s="2"/>
      <c r="Y531" s="1"/>
      <c r="Z531" s="3"/>
    </row>
    <row r="532" spans="15:26" x14ac:dyDescent="0.3">
      <c r="O532" s="22"/>
      <c r="Q532" s="10"/>
      <c r="T532" s="2"/>
      <c r="V532" s="2"/>
      <c r="Y532" s="1"/>
      <c r="Z532" s="3"/>
    </row>
    <row r="533" spans="15:26" x14ac:dyDescent="0.3">
      <c r="O533" s="22"/>
      <c r="Q533" s="10"/>
      <c r="T533" s="2"/>
      <c r="V533" s="2"/>
      <c r="Y533" s="1"/>
      <c r="Z533" s="3"/>
    </row>
    <row r="534" spans="15:26" x14ac:dyDescent="0.3">
      <c r="O534" s="22"/>
      <c r="Q534" s="10"/>
      <c r="T534" s="2"/>
      <c r="V534" s="2"/>
      <c r="Y534" s="1"/>
      <c r="Z534" s="3"/>
    </row>
    <row r="535" spans="15:26" x14ac:dyDescent="0.3">
      <c r="O535" s="22"/>
      <c r="Q535" s="10"/>
      <c r="T535" s="2"/>
      <c r="V535" s="2"/>
      <c r="Y535" s="1"/>
      <c r="Z535" s="3"/>
    </row>
    <row r="536" spans="15:26" x14ac:dyDescent="0.3">
      <c r="O536" s="22"/>
      <c r="Q536" s="10"/>
      <c r="T536" s="2"/>
      <c r="V536" s="2"/>
      <c r="Y536" s="1"/>
      <c r="Z536" s="3"/>
    </row>
    <row r="537" spans="15:26" x14ac:dyDescent="0.3">
      <c r="O537" s="22"/>
      <c r="Q537" s="10"/>
      <c r="T537" s="2"/>
      <c r="V537" s="2"/>
      <c r="Y537" s="1"/>
      <c r="Z537" s="3"/>
    </row>
    <row r="538" spans="15:26" x14ac:dyDescent="0.3">
      <c r="O538" s="22"/>
      <c r="Q538" s="10"/>
      <c r="T538" s="2"/>
      <c r="V538" s="2"/>
      <c r="Y538" s="1"/>
      <c r="Z538" s="3"/>
    </row>
    <row r="539" spans="15:26" x14ac:dyDescent="0.3">
      <c r="O539" s="22"/>
      <c r="Q539" s="10"/>
      <c r="T539" s="2"/>
      <c r="V539" s="2"/>
      <c r="Y539" s="1"/>
      <c r="Z539" s="3"/>
    </row>
    <row r="540" spans="15:26" x14ac:dyDescent="0.3">
      <c r="O540" s="22"/>
      <c r="Q540" s="10"/>
      <c r="T540" s="2"/>
      <c r="V540" s="2"/>
      <c r="Y540" s="1"/>
      <c r="Z540" s="3"/>
    </row>
    <row r="541" spans="15:26" x14ac:dyDescent="0.3">
      <c r="O541" s="22"/>
      <c r="Q541" s="10"/>
      <c r="T541" s="2"/>
      <c r="V541" s="2"/>
      <c r="Y541" s="1"/>
      <c r="Z541" s="3"/>
    </row>
    <row r="542" spans="15:26" x14ac:dyDescent="0.3">
      <c r="O542" s="22"/>
      <c r="Q542" s="10"/>
      <c r="T542" s="2"/>
      <c r="V542" s="2"/>
      <c r="Y542" s="1"/>
      <c r="Z542" s="3"/>
    </row>
    <row r="543" spans="15:26" x14ac:dyDescent="0.3">
      <c r="O543" s="22"/>
      <c r="Q543" s="10"/>
      <c r="T543" s="2"/>
      <c r="V543" s="2"/>
      <c r="Y543" s="1"/>
      <c r="Z543" s="3"/>
    </row>
    <row r="544" spans="15:26" x14ac:dyDescent="0.3">
      <c r="O544" s="22"/>
      <c r="Q544" s="10"/>
      <c r="T544" s="2"/>
      <c r="V544" s="2"/>
      <c r="Y544" s="1"/>
      <c r="Z544" s="3"/>
    </row>
    <row r="545" spans="15:26" x14ac:dyDescent="0.3">
      <c r="O545" s="22"/>
      <c r="Q545" s="10"/>
      <c r="T545" s="2"/>
      <c r="V545" s="2"/>
      <c r="Y545" s="1"/>
      <c r="Z545" s="3"/>
    </row>
    <row r="546" spans="15:26" x14ac:dyDescent="0.3">
      <c r="O546" s="22"/>
      <c r="Q546" s="10"/>
      <c r="T546" s="2"/>
      <c r="V546" s="2"/>
      <c r="Y546" s="1"/>
      <c r="Z546" s="3"/>
    </row>
    <row r="547" spans="15:26" x14ac:dyDescent="0.3">
      <c r="O547" s="22"/>
      <c r="Q547" s="10"/>
      <c r="T547" s="2"/>
      <c r="V547" s="2"/>
      <c r="Y547" s="1"/>
      <c r="Z547" s="3"/>
    </row>
    <row r="548" spans="15:26" x14ac:dyDescent="0.3">
      <c r="O548" s="22"/>
      <c r="Q548" s="10"/>
      <c r="T548" s="2"/>
      <c r="V548" s="2"/>
      <c r="Y548" s="1"/>
      <c r="Z548" s="3"/>
    </row>
    <row r="549" spans="15:26" x14ac:dyDescent="0.3">
      <c r="O549" s="22"/>
      <c r="Q549" s="10"/>
      <c r="T549" s="2"/>
      <c r="V549" s="2"/>
      <c r="Y549" s="1"/>
      <c r="Z549" s="3"/>
    </row>
    <row r="550" spans="15:26" x14ac:dyDescent="0.3">
      <c r="O550" s="22"/>
      <c r="Q550" s="10"/>
      <c r="T550" s="2"/>
      <c r="V550" s="2"/>
      <c r="Y550" s="1"/>
      <c r="Z550" s="3"/>
    </row>
    <row r="551" spans="15:26" x14ac:dyDescent="0.3">
      <c r="O551" s="22"/>
      <c r="Q551" s="10"/>
      <c r="T551" s="2"/>
      <c r="V551" s="2"/>
      <c r="Y551" s="1"/>
      <c r="Z551" s="3"/>
    </row>
    <row r="552" spans="15:26" x14ac:dyDescent="0.3">
      <c r="O552" s="22"/>
      <c r="Q552" s="10"/>
      <c r="T552" s="2"/>
      <c r="V552" s="2"/>
      <c r="Y552" s="1"/>
      <c r="Z552" s="3"/>
    </row>
    <row r="553" spans="15:26" x14ac:dyDescent="0.3">
      <c r="O553" s="22"/>
      <c r="Q553" s="10"/>
      <c r="T553" s="2"/>
      <c r="V553" s="2"/>
      <c r="Y553" s="1"/>
      <c r="Z553" s="3"/>
    </row>
    <row r="554" spans="15:26" x14ac:dyDescent="0.3">
      <c r="O554" s="22"/>
      <c r="Q554" s="10"/>
      <c r="T554" s="2"/>
      <c r="V554" s="2"/>
      <c r="Y554" s="1"/>
      <c r="Z554" s="3"/>
    </row>
    <row r="555" spans="15:26" x14ac:dyDescent="0.3">
      <c r="O555" s="22"/>
      <c r="Q555" s="10"/>
      <c r="T555" s="2"/>
      <c r="V555" s="2"/>
      <c r="Y555" s="1"/>
      <c r="Z555" s="3"/>
    </row>
    <row r="556" spans="15:26" x14ac:dyDescent="0.3">
      <c r="O556" s="22"/>
      <c r="Q556" s="10"/>
      <c r="T556" s="2"/>
      <c r="V556" s="2"/>
      <c r="Y556" s="1"/>
      <c r="Z556" s="3"/>
    </row>
    <row r="557" spans="15:26" x14ac:dyDescent="0.3">
      <c r="O557" s="22"/>
      <c r="Q557" s="10"/>
      <c r="T557" s="2"/>
      <c r="V557" s="2"/>
      <c r="Y557" s="1"/>
      <c r="Z557" s="3"/>
    </row>
    <row r="558" spans="15:26" x14ac:dyDescent="0.3">
      <c r="O558" s="22"/>
      <c r="Q558" s="10"/>
      <c r="T558" s="2"/>
      <c r="V558" s="2"/>
      <c r="Y558" s="1"/>
      <c r="Z558" s="3"/>
    </row>
    <row r="559" spans="15:26" x14ac:dyDescent="0.3">
      <c r="O559" s="22"/>
      <c r="Q559" s="10"/>
      <c r="T559" s="2"/>
      <c r="V559" s="2"/>
      <c r="Y559" s="1"/>
      <c r="Z559" s="3"/>
    </row>
    <row r="560" spans="15:26" x14ac:dyDescent="0.3">
      <c r="O560" s="22"/>
      <c r="Q560" s="10"/>
      <c r="T560" s="2"/>
      <c r="V560" s="2"/>
      <c r="Y560" s="1"/>
      <c r="Z560" s="3"/>
    </row>
    <row r="561" spans="15:26" x14ac:dyDescent="0.3">
      <c r="O561" s="22"/>
      <c r="Q561" s="10"/>
      <c r="T561" s="2"/>
      <c r="V561" s="2"/>
      <c r="Y561" s="1"/>
      <c r="Z561" s="3"/>
    </row>
    <row r="562" spans="15:26" x14ac:dyDescent="0.3">
      <c r="O562" s="22"/>
      <c r="Q562" s="10"/>
      <c r="T562" s="2"/>
      <c r="V562" s="2"/>
      <c r="Y562" s="1"/>
      <c r="Z562" s="3"/>
    </row>
    <row r="563" spans="15:26" x14ac:dyDescent="0.3">
      <c r="O563" s="22"/>
      <c r="Q563" s="10"/>
      <c r="T563" s="2"/>
      <c r="V563" s="2"/>
      <c r="Y563" s="1"/>
      <c r="Z563" s="3"/>
    </row>
    <row r="564" spans="15:26" x14ac:dyDescent="0.3">
      <c r="O564" s="22"/>
      <c r="Q564" s="10"/>
      <c r="T564" s="2"/>
      <c r="V564" s="2"/>
      <c r="Y564" s="1"/>
      <c r="Z564" s="3"/>
    </row>
    <row r="565" spans="15:26" x14ac:dyDescent="0.3">
      <c r="O565" s="22"/>
      <c r="Q565" s="10"/>
      <c r="T565" s="2"/>
      <c r="V565" s="2"/>
      <c r="Y565" s="1"/>
      <c r="Z565" s="3"/>
    </row>
    <row r="566" spans="15:26" x14ac:dyDescent="0.3">
      <c r="O566" s="22"/>
      <c r="Q566" s="10"/>
      <c r="T566" s="2"/>
      <c r="V566" s="2"/>
      <c r="Y566" s="1"/>
      <c r="Z566" s="3"/>
    </row>
    <row r="567" spans="15:26" x14ac:dyDescent="0.3">
      <c r="O567" s="22"/>
      <c r="Q567" s="10"/>
      <c r="T567" s="2"/>
      <c r="V567" s="2"/>
      <c r="Y567" s="1"/>
      <c r="Z567" s="3"/>
    </row>
    <row r="568" spans="15:26" x14ac:dyDescent="0.3">
      <c r="O568" s="22"/>
      <c r="Q568" s="10"/>
      <c r="T568" s="2"/>
      <c r="V568" s="2"/>
      <c r="Y568" s="1"/>
      <c r="Z568" s="3"/>
    </row>
    <row r="569" spans="15:26" x14ac:dyDescent="0.3">
      <c r="O569" s="22"/>
      <c r="Q569" s="10"/>
      <c r="T569" s="2"/>
      <c r="V569" s="2"/>
      <c r="Y569" s="1"/>
      <c r="Z569" s="3"/>
    </row>
    <row r="570" spans="15:26" x14ac:dyDescent="0.3">
      <c r="O570" s="22"/>
      <c r="Q570" s="10"/>
      <c r="T570" s="2"/>
      <c r="V570" s="2"/>
      <c r="Y570" s="1"/>
      <c r="Z570" s="3"/>
    </row>
    <row r="571" spans="15:26" x14ac:dyDescent="0.3">
      <c r="O571" s="22"/>
      <c r="Q571" s="10"/>
      <c r="T571" s="2"/>
      <c r="V571" s="2"/>
      <c r="Y571" s="1"/>
      <c r="Z571" s="3"/>
    </row>
    <row r="572" spans="15:26" x14ac:dyDescent="0.3">
      <c r="O572" s="22"/>
      <c r="Q572" s="10"/>
      <c r="T572" s="2"/>
      <c r="V572" s="2"/>
      <c r="Y572" s="1"/>
      <c r="Z572" s="3"/>
    </row>
    <row r="573" spans="15:26" x14ac:dyDescent="0.3">
      <c r="O573" s="22"/>
      <c r="Q573" s="10"/>
      <c r="T573" s="2"/>
      <c r="V573" s="2"/>
      <c r="Y573" s="1"/>
      <c r="Z573" s="3"/>
    </row>
    <row r="574" spans="15:26" x14ac:dyDescent="0.3">
      <c r="O574" s="22"/>
      <c r="Q574" s="10"/>
      <c r="T574" s="2"/>
      <c r="V574" s="2"/>
      <c r="Y574" s="1"/>
      <c r="Z574" s="3"/>
    </row>
    <row r="575" spans="15:26" x14ac:dyDescent="0.3">
      <c r="O575" s="22"/>
      <c r="Q575" s="10"/>
      <c r="T575" s="2"/>
      <c r="V575" s="2"/>
      <c r="Y575" s="1"/>
      <c r="Z575" s="3"/>
    </row>
    <row r="576" spans="15:26" x14ac:dyDescent="0.3">
      <c r="O576" s="22"/>
      <c r="Q576" s="10"/>
      <c r="T576" s="2"/>
      <c r="V576" s="2"/>
      <c r="Y576" s="1"/>
      <c r="Z576" s="3"/>
    </row>
    <row r="577" spans="15:26" x14ac:dyDescent="0.3">
      <c r="O577" s="22"/>
      <c r="Q577" s="10"/>
      <c r="T577" s="2"/>
      <c r="V577" s="2"/>
      <c r="Y577" s="1"/>
      <c r="Z577" s="3"/>
    </row>
    <row r="578" spans="15:26" x14ac:dyDescent="0.3">
      <c r="O578" s="22"/>
      <c r="Q578" s="10"/>
      <c r="T578" s="2"/>
      <c r="V578" s="2"/>
      <c r="Y578" s="1"/>
      <c r="Z578" s="3"/>
    </row>
    <row r="579" spans="15:26" x14ac:dyDescent="0.3">
      <c r="O579" s="22"/>
      <c r="Q579" s="10"/>
      <c r="T579" s="2"/>
      <c r="V579" s="2"/>
      <c r="Y579" s="1"/>
      <c r="Z579" s="3"/>
    </row>
    <row r="580" spans="15:26" x14ac:dyDescent="0.3">
      <c r="O580" s="22"/>
      <c r="Q580" s="10"/>
      <c r="T580" s="2"/>
      <c r="V580" s="2"/>
      <c r="Y580" s="1"/>
      <c r="Z580" s="3"/>
    </row>
    <row r="581" spans="15:26" x14ac:dyDescent="0.3">
      <c r="O581" s="22"/>
      <c r="Q581" s="10"/>
      <c r="T581" s="2"/>
      <c r="V581" s="2"/>
      <c r="Y581" s="1"/>
      <c r="Z581" s="3"/>
    </row>
    <row r="582" spans="15:26" x14ac:dyDescent="0.3">
      <c r="O582" s="22"/>
      <c r="Q582" s="10"/>
      <c r="T582" s="2"/>
      <c r="V582" s="2"/>
      <c r="Y582" s="1"/>
      <c r="Z582" s="3"/>
    </row>
    <row r="583" spans="15:26" x14ac:dyDescent="0.3">
      <c r="O583" s="22"/>
      <c r="T583" s="2"/>
      <c r="V583" s="2"/>
      <c r="Y583" s="1"/>
      <c r="Z583" s="3"/>
    </row>
    <row r="584" spans="15:26" x14ac:dyDescent="0.3">
      <c r="O584" s="22"/>
      <c r="T584" s="2"/>
      <c r="V584" s="2"/>
      <c r="Y584" s="1"/>
      <c r="Z584" s="3"/>
    </row>
    <row r="585" spans="15:26" x14ac:dyDescent="0.3">
      <c r="O585" s="22"/>
      <c r="T585" s="2"/>
      <c r="V585" s="2"/>
      <c r="Y585" s="1"/>
      <c r="Z585" s="3"/>
    </row>
    <row r="586" spans="15:26" x14ac:dyDescent="0.3">
      <c r="O586" s="22"/>
      <c r="T586" s="2"/>
      <c r="V586" s="2"/>
      <c r="Y586" s="1"/>
      <c r="Z586" s="3"/>
    </row>
    <row r="587" spans="15:26" x14ac:dyDescent="0.3">
      <c r="O587" s="22"/>
      <c r="T587" s="2"/>
      <c r="V587" s="2"/>
      <c r="Y587" s="1"/>
      <c r="Z587" s="3"/>
    </row>
    <row r="588" spans="15:26" x14ac:dyDescent="0.3">
      <c r="O588" s="22"/>
      <c r="T588" s="2"/>
      <c r="V588" s="2"/>
      <c r="Y588" s="1"/>
      <c r="Z588" s="3"/>
    </row>
    <row r="589" spans="15:26" x14ac:dyDescent="0.3">
      <c r="O589" s="22"/>
      <c r="T589" s="2"/>
      <c r="V589" s="2"/>
      <c r="Y589" s="1"/>
      <c r="Z589" s="3"/>
    </row>
    <row r="590" spans="15:26" x14ac:dyDescent="0.3">
      <c r="O590" s="22"/>
      <c r="T590" s="2"/>
      <c r="V590" s="2"/>
      <c r="Y590" s="1"/>
      <c r="Z590" s="3"/>
    </row>
    <row r="591" spans="15:26" x14ac:dyDescent="0.3">
      <c r="O591" s="22"/>
      <c r="T591" s="2"/>
      <c r="V591" s="2"/>
      <c r="Y591" s="1"/>
      <c r="Z591" s="3"/>
    </row>
    <row r="592" spans="15:26" x14ac:dyDescent="0.3">
      <c r="O592" s="22"/>
      <c r="T592" s="2"/>
      <c r="V592" s="2"/>
      <c r="Y592" s="1"/>
      <c r="Z592" s="3"/>
    </row>
    <row r="593" spans="15:26" x14ac:dyDescent="0.3">
      <c r="O593" s="22"/>
      <c r="T593" s="2"/>
      <c r="V593" s="2"/>
      <c r="Y593" s="1"/>
      <c r="Z593" s="3"/>
    </row>
    <row r="594" spans="15:26" x14ac:dyDescent="0.3">
      <c r="O594" s="22"/>
      <c r="T594" s="2"/>
      <c r="V594" s="2"/>
      <c r="Y594" s="1"/>
      <c r="Z594" s="3"/>
    </row>
    <row r="595" spans="15:26" x14ac:dyDescent="0.3">
      <c r="O595" s="22"/>
      <c r="T595" s="2"/>
      <c r="V595" s="2"/>
      <c r="Y595" s="1"/>
      <c r="Z595" s="3"/>
    </row>
    <row r="596" spans="15:26" x14ac:dyDescent="0.3">
      <c r="O596" s="22"/>
      <c r="T596" s="2"/>
      <c r="V596" s="2"/>
      <c r="Y596" s="1"/>
      <c r="Z596" s="3"/>
    </row>
    <row r="597" spans="15:26" x14ac:dyDescent="0.3">
      <c r="O597" s="22"/>
      <c r="T597" s="2"/>
      <c r="V597" s="2"/>
      <c r="Y597" s="1"/>
      <c r="Z597" s="3"/>
    </row>
    <row r="598" spans="15:26" x14ac:dyDescent="0.3">
      <c r="O598" s="22"/>
      <c r="T598" s="2"/>
      <c r="V598" s="2"/>
      <c r="Y598" s="1"/>
      <c r="Z598" s="3"/>
    </row>
    <row r="599" spans="15:26" x14ac:dyDescent="0.3">
      <c r="O599" s="22"/>
      <c r="T599" s="2"/>
      <c r="V599" s="2"/>
      <c r="Y599" s="1"/>
      <c r="Z599" s="3"/>
    </row>
    <row r="600" spans="15:26" x14ac:dyDescent="0.3">
      <c r="O600" s="22"/>
      <c r="T600" s="2"/>
      <c r="V600" s="2"/>
      <c r="Y600" s="1"/>
      <c r="Z600" s="3"/>
    </row>
    <row r="601" spans="15:26" x14ac:dyDescent="0.3">
      <c r="O601" s="22"/>
      <c r="T601" s="2"/>
      <c r="V601" s="2"/>
      <c r="Y601" s="1"/>
      <c r="Z601" s="3"/>
    </row>
    <row r="602" spans="15:26" x14ac:dyDescent="0.3">
      <c r="O602" s="22"/>
      <c r="T602" s="2"/>
      <c r="V602" s="2"/>
      <c r="Y602" s="1"/>
      <c r="Z602" s="3"/>
    </row>
    <row r="603" spans="15:26" x14ac:dyDescent="0.3">
      <c r="O603" s="22"/>
      <c r="T603" s="2"/>
      <c r="V603" s="2"/>
      <c r="Y603" s="1"/>
      <c r="Z603" s="3"/>
    </row>
    <row r="604" spans="15:26" x14ac:dyDescent="0.3">
      <c r="O604" s="22"/>
      <c r="T604" s="2"/>
      <c r="V604" s="2"/>
      <c r="Y604" s="1"/>
      <c r="Z604" s="3"/>
    </row>
    <row r="605" spans="15:26" x14ac:dyDescent="0.3">
      <c r="O605" s="22"/>
      <c r="T605" s="2"/>
      <c r="V605" s="2"/>
      <c r="Y605" s="1"/>
      <c r="Z605" s="3"/>
    </row>
    <row r="606" spans="15:26" x14ac:dyDescent="0.3">
      <c r="O606" s="22"/>
      <c r="T606" s="2"/>
      <c r="V606" s="2"/>
      <c r="Y606" s="1"/>
      <c r="Z606" s="3"/>
    </row>
    <row r="607" spans="15:26" x14ac:dyDescent="0.3">
      <c r="O607" s="22"/>
      <c r="T607" s="2"/>
      <c r="V607" s="2"/>
      <c r="Y607" s="1"/>
      <c r="Z607" s="3"/>
    </row>
    <row r="608" spans="15:26" x14ac:dyDescent="0.3">
      <c r="O608" s="22"/>
      <c r="T608" s="2"/>
      <c r="V608" s="2"/>
      <c r="Y608" s="1"/>
      <c r="Z608" s="3"/>
    </row>
    <row r="609" spans="15:26" x14ac:dyDescent="0.3">
      <c r="O609" s="22"/>
      <c r="T609" s="2"/>
      <c r="V609" s="2"/>
      <c r="Y609" s="1"/>
      <c r="Z609" s="3"/>
    </row>
    <row r="610" spans="15:26" x14ac:dyDescent="0.3">
      <c r="O610" s="22"/>
      <c r="T610" s="2"/>
      <c r="V610" s="2"/>
      <c r="Y610" s="1"/>
      <c r="Z610" s="3"/>
    </row>
    <row r="611" spans="15:26" x14ac:dyDescent="0.3">
      <c r="O611" s="22"/>
      <c r="T611" s="2"/>
      <c r="V611" s="2"/>
      <c r="Y611" s="1"/>
      <c r="Z611" s="3"/>
    </row>
    <row r="612" spans="15:26" x14ac:dyDescent="0.3">
      <c r="O612" s="22"/>
      <c r="T612" s="2"/>
      <c r="V612" s="2"/>
      <c r="Y612" s="1"/>
      <c r="Z612" s="3"/>
    </row>
    <row r="613" spans="15:26" x14ac:dyDescent="0.3">
      <c r="O613" s="22"/>
      <c r="T613" s="2"/>
      <c r="V613" s="2"/>
      <c r="Y613" s="1"/>
      <c r="Z613" s="3"/>
    </row>
    <row r="614" spans="15:26" x14ac:dyDescent="0.3">
      <c r="O614" s="22"/>
      <c r="T614" s="2"/>
      <c r="V614" s="2"/>
      <c r="Y614" s="1"/>
      <c r="Z614" s="3"/>
    </row>
    <row r="615" spans="15:26" x14ac:dyDescent="0.3">
      <c r="O615" s="22"/>
      <c r="T615" s="2"/>
      <c r="V615" s="2"/>
      <c r="Y615" s="1"/>
      <c r="Z615" s="3"/>
    </row>
    <row r="616" spans="15:26" x14ac:dyDescent="0.3">
      <c r="O616" s="22"/>
      <c r="T616" s="2"/>
      <c r="V616" s="2"/>
      <c r="Y616" s="1"/>
      <c r="Z616" s="3"/>
    </row>
    <row r="617" spans="15:26" x14ac:dyDescent="0.3">
      <c r="O617" s="22"/>
      <c r="T617" s="2"/>
      <c r="V617" s="2"/>
      <c r="Y617" s="1"/>
      <c r="Z617" s="3"/>
    </row>
    <row r="618" spans="15:26" x14ac:dyDescent="0.3">
      <c r="O618" s="22"/>
      <c r="T618" s="2"/>
      <c r="V618" s="2"/>
      <c r="Y618" s="1"/>
      <c r="Z618" s="3"/>
    </row>
    <row r="619" spans="15:26" x14ac:dyDescent="0.3">
      <c r="O619" s="22"/>
      <c r="T619" s="2"/>
      <c r="V619" s="2"/>
      <c r="Y619" s="1"/>
      <c r="Z619" s="3"/>
    </row>
    <row r="620" spans="15:26" x14ac:dyDescent="0.3">
      <c r="O620" s="22"/>
      <c r="T620" s="2"/>
      <c r="V620" s="2"/>
      <c r="Y620" s="1"/>
      <c r="Z620" s="3"/>
    </row>
    <row r="621" spans="15:26" x14ac:dyDescent="0.3">
      <c r="O621" s="22"/>
      <c r="T621" s="2"/>
      <c r="V621" s="2"/>
      <c r="Y621" s="1"/>
      <c r="Z621" s="3"/>
    </row>
    <row r="622" spans="15:26" x14ac:dyDescent="0.3">
      <c r="O622" s="22"/>
      <c r="T622" s="2"/>
      <c r="V622" s="2"/>
      <c r="Y622" s="1"/>
      <c r="Z622" s="3"/>
    </row>
    <row r="623" spans="15:26" x14ac:dyDescent="0.3">
      <c r="O623" s="22"/>
      <c r="T623" s="2"/>
      <c r="V623" s="2"/>
      <c r="Y623" s="1"/>
      <c r="Z623" s="3"/>
    </row>
    <row r="624" spans="15:26" x14ac:dyDescent="0.3">
      <c r="O624" s="22"/>
      <c r="T624" s="2"/>
      <c r="V624" s="2"/>
      <c r="Y624" s="1"/>
      <c r="Z624" s="3"/>
    </row>
    <row r="625" spans="15:26" x14ac:dyDescent="0.3">
      <c r="O625" s="22"/>
      <c r="T625" s="2"/>
      <c r="V625" s="2"/>
      <c r="Y625" s="1"/>
      <c r="Z625" s="3"/>
    </row>
    <row r="626" spans="15:26" x14ac:dyDescent="0.3">
      <c r="O626" s="22"/>
      <c r="T626" s="2"/>
      <c r="V626" s="2"/>
      <c r="Y626" s="1"/>
      <c r="Z626" s="3"/>
    </row>
    <row r="627" spans="15:26" x14ac:dyDescent="0.3">
      <c r="O627" s="22"/>
      <c r="T627" s="2"/>
      <c r="V627" s="2"/>
      <c r="Y627" s="1"/>
      <c r="Z627" s="3"/>
    </row>
    <row r="628" spans="15:26" x14ac:dyDescent="0.3">
      <c r="O628" s="22"/>
      <c r="T628" s="2"/>
      <c r="V628" s="2"/>
      <c r="Y628" s="1"/>
      <c r="Z628" s="3"/>
    </row>
    <row r="629" spans="15:26" x14ac:dyDescent="0.3">
      <c r="O629" s="22"/>
      <c r="T629" s="2"/>
      <c r="V629" s="2"/>
      <c r="Y629" s="1"/>
      <c r="Z629" s="3"/>
    </row>
    <row r="630" spans="15:26" x14ac:dyDescent="0.3">
      <c r="O630" s="22"/>
      <c r="T630" s="2"/>
      <c r="V630" s="2"/>
      <c r="Y630" s="1"/>
      <c r="Z630" s="3"/>
    </row>
    <row r="631" spans="15:26" x14ac:dyDescent="0.3">
      <c r="O631" s="22"/>
      <c r="T631" s="2"/>
      <c r="V631" s="2"/>
      <c r="Y631" s="1"/>
      <c r="Z631" s="3"/>
    </row>
    <row r="632" spans="15:26" x14ac:dyDescent="0.3">
      <c r="O632" s="22"/>
      <c r="T632" s="2"/>
      <c r="V632" s="2"/>
      <c r="Y632" s="1"/>
      <c r="Z632" s="3"/>
    </row>
    <row r="633" spans="15:26" x14ac:dyDescent="0.3">
      <c r="O633" s="22"/>
      <c r="T633" s="2"/>
      <c r="V633" s="2"/>
      <c r="Y633" s="1"/>
      <c r="Z633" s="3"/>
    </row>
    <row r="634" spans="15:26" x14ac:dyDescent="0.3">
      <c r="O634" s="22"/>
      <c r="T634" s="2"/>
      <c r="V634" s="2"/>
      <c r="Y634" s="1"/>
      <c r="Z634" s="3"/>
    </row>
    <row r="635" spans="15:26" x14ac:dyDescent="0.3">
      <c r="O635" s="22"/>
      <c r="T635" s="2"/>
      <c r="V635" s="2"/>
      <c r="Y635" s="1"/>
      <c r="Z635" s="3"/>
    </row>
    <row r="636" spans="15:26" x14ac:dyDescent="0.3">
      <c r="O636" s="22"/>
      <c r="T636" s="2"/>
      <c r="V636" s="2"/>
      <c r="Y636" s="1"/>
      <c r="Z636" s="3"/>
    </row>
    <row r="637" spans="15:26" x14ac:dyDescent="0.3">
      <c r="O637" s="22"/>
      <c r="T637" s="2"/>
      <c r="V637" s="2"/>
      <c r="Y637" s="1"/>
      <c r="Z637" s="3"/>
    </row>
    <row r="638" spans="15:26" x14ac:dyDescent="0.3">
      <c r="O638" s="22"/>
      <c r="T638" s="2"/>
      <c r="V638" s="2"/>
      <c r="Y638" s="1"/>
      <c r="Z638" s="3"/>
    </row>
    <row r="639" spans="15:26" x14ac:dyDescent="0.3">
      <c r="O639" s="22"/>
      <c r="T639" s="2"/>
      <c r="V639" s="2"/>
      <c r="Y639" s="1"/>
      <c r="Z639" s="3"/>
    </row>
    <row r="640" spans="15:26" x14ac:dyDescent="0.3">
      <c r="O640" s="22"/>
      <c r="T640" s="2"/>
      <c r="V640" s="2"/>
      <c r="Y640" s="1"/>
      <c r="Z640" s="3"/>
    </row>
    <row r="641" spans="15:26" x14ac:dyDescent="0.3">
      <c r="O641" s="22"/>
      <c r="T641" s="2"/>
      <c r="V641" s="2"/>
      <c r="Y641" s="1"/>
      <c r="Z641" s="3"/>
    </row>
    <row r="642" spans="15:26" x14ac:dyDescent="0.3">
      <c r="O642" s="22"/>
      <c r="T642" s="2"/>
      <c r="V642" s="2"/>
      <c r="Y642" s="1"/>
      <c r="Z642" s="3"/>
    </row>
    <row r="643" spans="15:26" x14ac:dyDescent="0.3">
      <c r="O643" s="22"/>
      <c r="T643" s="2"/>
      <c r="V643" s="2"/>
      <c r="Y643" s="1"/>
      <c r="Z643" s="3"/>
    </row>
    <row r="644" spans="15:26" x14ac:dyDescent="0.3">
      <c r="O644" s="22"/>
      <c r="T644" s="2"/>
      <c r="V644" s="2"/>
      <c r="Y644" s="1"/>
      <c r="Z644" s="3"/>
    </row>
    <row r="645" spans="15:26" x14ac:dyDescent="0.3">
      <c r="O645" s="22"/>
      <c r="T645" s="2"/>
      <c r="V645" s="2"/>
      <c r="Y645" s="1"/>
      <c r="Z645" s="3"/>
    </row>
    <row r="646" spans="15:26" x14ac:dyDescent="0.3">
      <c r="O646" s="22"/>
      <c r="T646" s="2"/>
      <c r="V646" s="2"/>
      <c r="Y646" s="1"/>
      <c r="Z646" s="3"/>
    </row>
    <row r="647" spans="15:26" x14ac:dyDescent="0.3">
      <c r="O647" s="22"/>
      <c r="T647" s="2"/>
      <c r="V647" s="2"/>
      <c r="Y647" s="1"/>
      <c r="Z647" s="3"/>
    </row>
    <row r="648" spans="15:26" x14ac:dyDescent="0.3">
      <c r="O648" s="22"/>
      <c r="T648" s="2"/>
      <c r="V648" s="2"/>
      <c r="Y648" s="1"/>
      <c r="Z648" s="3"/>
    </row>
    <row r="649" spans="15:26" x14ac:dyDescent="0.3">
      <c r="O649" s="22"/>
      <c r="T649" s="2"/>
      <c r="V649" s="2"/>
      <c r="Y649" s="1"/>
      <c r="Z649" s="3"/>
    </row>
    <row r="650" spans="15:26" x14ac:dyDescent="0.3">
      <c r="O650" s="22"/>
      <c r="T650" s="2"/>
      <c r="V650" s="2"/>
      <c r="Y650" s="1"/>
      <c r="Z650" s="3"/>
    </row>
    <row r="651" spans="15:26" x14ac:dyDescent="0.3">
      <c r="O651" s="22"/>
      <c r="T651" s="2"/>
      <c r="V651" s="2"/>
      <c r="Y651" s="1"/>
      <c r="Z651" s="3"/>
    </row>
    <row r="652" spans="15:26" x14ac:dyDescent="0.3">
      <c r="O652" s="22"/>
      <c r="T652" s="2"/>
      <c r="V652" s="2"/>
      <c r="Y652" s="1"/>
      <c r="Z652" s="3"/>
    </row>
    <row r="653" spans="15:26" x14ac:dyDescent="0.3">
      <c r="O653" s="22"/>
      <c r="T653" s="2"/>
      <c r="V653" s="2"/>
      <c r="Y653" s="1"/>
      <c r="Z653" s="3"/>
    </row>
    <row r="654" spans="15:26" x14ac:dyDescent="0.3">
      <c r="O654" s="22"/>
      <c r="T654" s="2"/>
      <c r="V654" s="2"/>
      <c r="Y654" s="1"/>
      <c r="Z654" s="3"/>
    </row>
    <row r="655" spans="15:26" x14ac:dyDescent="0.3">
      <c r="O655" s="22"/>
      <c r="T655" s="2"/>
      <c r="V655" s="2"/>
      <c r="Y655" s="1"/>
      <c r="Z655" s="3"/>
    </row>
    <row r="656" spans="15:26" x14ac:dyDescent="0.3">
      <c r="O656" s="22"/>
      <c r="T656" s="2"/>
      <c r="V656" s="2"/>
      <c r="Y656" s="1"/>
      <c r="Z656" s="3"/>
    </row>
    <row r="657" spans="15:26" x14ac:dyDescent="0.3">
      <c r="O657" s="22"/>
      <c r="T657" s="2"/>
      <c r="V657" s="2"/>
      <c r="Y657" s="1"/>
      <c r="Z657" s="3"/>
    </row>
    <row r="658" spans="15:26" x14ac:dyDescent="0.3">
      <c r="O658" s="22"/>
      <c r="T658" s="2"/>
      <c r="V658" s="2"/>
      <c r="Y658" s="1"/>
      <c r="Z658" s="3"/>
    </row>
    <row r="659" spans="15:26" x14ac:dyDescent="0.3">
      <c r="O659" s="22"/>
      <c r="T659" s="2"/>
      <c r="V659" s="2"/>
      <c r="Y659" s="1"/>
      <c r="Z659" s="3"/>
    </row>
    <row r="660" spans="15:26" x14ac:dyDescent="0.3">
      <c r="O660" s="22"/>
      <c r="T660" s="2"/>
      <c r="V660" s="2"/>
      <c r="Y660" s="1"/>
      <c r="Z660" s="3"/>
    </row>
    <row r="661" spans="15:26" x14ac:dyDescent="0.3">
      <c r="O661" s="22"/>
      <c r="T661" s="2"/>
      <c r="V661" s="2"/>
      <c r="Y661" s="1"/>
      <c r="Z661" s="3"/>
    </row>
    <row r="662" spans="15:26" x14ac:dyDescent="0.3">
      <c r="O662" s="22"/>
      <c r="T662" s="2"/>
      <c r="V662" s="2"/>
      <c r="Y662" s="1"/>
      <c r="Z662" s="3"/>
    </row>
    <row r="663" spans="15:26" x14ac:dyDescent="0.3">
      <c r="O663" s="22"/>
      <c r="T663" s="2"/>
      <c r="V663" s="2"/>
      <c r="Y663" s="1"/>
      <c r="Z663" s="3"/>
    </row>
    <row r="664" spans="15:26" x14ac:dyDescent="0.3">
      <c r="O664" s="22"/>
      <c r="T664" s="2"/>
      <c r="V664" s="2"/>
      <c r="Y664" s="1"/>
      <c r="Z664" s="3"/>
    </row>
    <row r="665" spans="15:26" x14ac:dyDescent="0.3">
      <c r="O665" s="22"/>
      <c r="T665" s="2"/>
      <c r="V665" s="2"/>
      <c r="Y665" s="1"/>
      <c r="Z665" s="3"/>
    </row>
    <row r="666" spans="15:26" x14ac:dyDescent="0.3">
      <c r="O666" s="22"/>
      <c r="T666" s="2"/>
      <c r="V666" s="2"/>
      <c r="Y666" s="1"/>
      <c r="Z666" s="3"/>
    </row>
    <row r="667" spans="15:26" x14ac:dyDescent="0.3">
      <c r="O667" s="22"/>
      <c r="T667" s="2"/>
      <c r="V667" s="2"/>
      <c r="Y667" s="1"/>
      <c r="Z667" s="3"/>
    </row>
    <row r="668" spans="15:26" x14ac:dyDescent="0.3">
      <c r="O668" s="22"/>
      <c r="T668" s="2"/>
      <c r="V668" s="2"/>
      <c r="Y668" s="1"/>
      <c r="Z668" s="3"/>
    </row>
    <row r="669" spans="15:26" x14ac:dyDescent="0.3">
      <c r="O669" s="22"/>
      <c r="T669" s="2"/>
      <c r="V669" s="2"/>
      <c r="Y669" s="1"/>
      <c r="Z669" s="3"/>
    </row>
    <row r="670" spans="15:26" x14ac:dyDescent="0.3">
      <c r="O670" s="22"/>
      <c r="T670" s="2"/>
      <c r="V670" s="2"/>
      <c r="Y670" s="1"/>
      <c r="Z670" s="3"/>
    </row>
    <row r="671" spans="15:26" x14ac:dyDescent="0.3">
      <c r="O671" s="22"/>
      <c r="T671" s="2"/>
      <c r="V671" s="2"/>
      <c r="Y671" s="1"/>
      <c r="Z671" s="3"/>
    </row>
    <row r="672" spans="15:26" x14ac:dyDescent="0.3">
      <c r="O672" s="22"/>
      <c r="T672" s="2"/>
      <c r="V672" s="2"/>
      <c r="Y672" s="1"/>
      <c r="Z672" s="3"/>
    </row>
    <row r="673" spans="15:26" x14ac:dyDescent="0.3">
      <c r="O673" s="22"/>
      <c r="T673" s="2"/>
      <c r="V673" s="2"/>
      <c r="Y673" s="1"/>
      <c r="Z673" s="3"/>
    </row>
    <row r="674" spans="15:26" x14ac:dyDescent="0.3">
      <c r="O674" s="22"/>
      <c r="T674" s="2"/>
      <c r="V674" s="2"/>
      <c r="Y674" s="1"/>
      <c r="Z674" s="3"/>
    </row>
    <row r="675" spans="15:26" x14ac:dyDescent="0.3">
      <c r="O675" s="22"/>
      <c r="T675" s="2"/>
      <c r="V675" s="2"/>
      <c r="Y675" s="1"/>
      <c r="Z675" s="3"/>
    </row>
    <row r="676" spans="15:26" x14ac:dyDescent="0.3">
      <c r="O676" s="22"/>
      <c r="T676" s="2"/>
      <c r="V676" s="2"/>
      <c r="Y676" s="1"/>
      <c r="Z676" s="3"/>
    </row>
    <row r="677" spans="15:26" x14ac:dyDescent="0.3">
      <c r="O677" s="22"/>
      <c r="T677" s="2"/>
      <c r="V677" s="2"/>
      <c r="Y677" s="1"/>
      <c r="Z677" s="3"/>
    </row>
    <row r="678" spans="15:26" x14ac:dyDescent="0.3">
      <c r="O678" s="22"/>
      <c r="T678" s="2"/>
      <c r="V678" s="2"/>
      <c r="Y678" s="1"/>
      <c r="Z678" s="3"/>
    </row>
    <row r="679" spans="15:26" x14ac:dyDescent="0.3">
      <c r="O679" s="22"/>
      <c r="T679" s="2"/>
      <c r="V679" s="2"/>
      <c r="Y679" s="1"/>
      <c r="Z679" s="3"/>
    </row>
    <row r="680" spans="15:26" x14ac:dyDescent="0.3">
      <c r="O680" s="22"/>
      <c r="T680" s="2"/>
      <c r="V680" s="2"/>
      <c r="Y680" s="1"/>
      <c r="Z680" s="3"/>
    </row>
    <row r="681" spans="15:26" x14ac:dyDescent="0.3">
      <c r="O681" s="22"/>
      <c r="T681" s="2"/>
      <c r="V681" s="2"/>
      <c r="Y681" s="1"/>
      <c r="Z681" s="3"/>
    </row>
    <row r="682" spans="15:26" x14ac:dyDescent="0.3">
      <c r="O682" s="22"/>
      <c r="T682" s="2"/>
      <c r="V682" s="2"/>
      <c r="Y682" s="1"/>
      <c r="Z682" s="3"/>
    </row>
    <row r="683" spans="15:26" x14ac:dyDescent="0.3">
      <c r="O683" s="22"/>
      <c r="T683" s="2"/>
      <c r="V683" s="2"/>
      <c r="Y683" s="1"/>
      <c r="Z683" s="3"/>
    </row>
    <row r="684" spans="15:26" x14ac:dyDescent="0.3">
      <c r="O684" s="22"/>
      <c r="T684" s="2"/>
      <c r="V684" s="2"/>
      <c r="Y684" s="1"/>
      <c r="Z684" s="3"/>
    </row>
    <row r="685" spans="15:26" x14ac:dyDescent="0.3">
      <c r="O685" s="22"/>
      <c r="T685" s="2"/>
      <c r="V685" s="2"/>
      <c r="Y685" s="1"/>
      <c r="Z685" s="3"/>
    </row>
    <row r="686" spans="15:26" x14ac:dyDescent="0.3">
      <c r="O686" s="22"/>
      <c r="T686" s="2"/>
      <c r="V686" s="2"/>
      <c r="Y686" s="1"/>
      <c r="Z686" s="3"/>
    </row>
    <row r="687" spans="15:26" x14ac:dyDescent="0.3">
      <c r="O687" s="22"/>
      <c r="T687" s="2"/>
      <c r="V687" s="2"/>
      <c r="Y687" s="1"/>
      <c r="Z687" s="3"/>
    </row>
    <row r="688" spans="15:26" x14ac:dyDescent="0.3">
      <c r="O688" s="22"/>
      <c r="T688" s="2"/>
      <c r="V688" s="2"/>
      <c r="Y688" s="1"/>
      <c r="Z688" s="3"/>
    </row>
    <row r="689" spans="15:26" x14ac:dyDescent="0.3">
      <c r="O689" s="22"/>
      <c r="T689" s="2"/>
      <c r="V689" s="2"/>
      <c r="Y689" s="1"/>
      <c r="Z689" s="3"/>
    </row>
    <row r="690" spans="15:26" x14ac:dyDescent="0.3">
      <c r="O690" s="22"/>
      <c r="T690" s="2"/>
      <c r="V690" s="2"/>
      <c r="Y690" s="1"/>
      <c r="Z690" s="3"/>
    </row>
    <row r="691" spans="15:26" x14ac:dyDescent="0.3">
      <c r="O691" s="22"/>
      <c r="T691" s="2"/>
      <c r="V691" s="2"/>
      <c r="Y691" s="1"/>
      <c r="Z691" s="3"/>
    </row>
    <row r="692" spans="15:26" x14ac:dyDescent="0.3">
      <c r="O692" s="22"/>
      <c r="T692" s="2"/>
      <c r="V692" s="2"/>
      <c r="Y692" s="1"/>
      <c r="Z692" s="3"/>
    </row>
    <row r="693" spans="15:26" x14ac:dyDescent="0.3">
      <c r="O693" s="22"/>
      <c r="T693" s="2"/>
      <c r="V693" s="2"/>
      <c r="Y693" s="1"/>
      <c r="Z693" s="3"/>
    </row>
    <row r="694" spans="15:26" x14ac:dyDescent="0.3">
      <c r="O694" s="22"/>
      <c r="T694" s="2"/>
      <c r="V694" s="2"/>
      <c r="Y694" s="1"/>
      <c r="Z694" s="3"/>
    </row>
    <row r="695" spans="15:26" x14ac:dyDescent="0.3">
      <c r="O695" s="22"/>
      <c r="T695" s="2"/>
      <c r="V695" s="2"/>
      <c r="Y695" s="1"/>
      <c r="Z695" s="3"/>
    </row>
    <row r="696" spans="15:26" x14ac:dyDescent="0.3">
      <c r="O696" s="22"/>
      <c r="T696" s="2"/>
      <c r="V696" s="2"/>
      <c r="Y696" s="1"/>
      <c r="Z696" s="3"/>
    </row>
    <row r="697" spans="15:26" x14ac:dyDescent="0.3">
      <c r="O697" s="22"/>
      <c r="T697" s="2"/>
      <c r="V697" s="2"/>
      <c r="Y697" s="1"/>
      <c r="Z697" s="3"/>
    </row>
    <row r="698" spans="15:26" x14ac:dyDescent="0.3">
      <c r="O698" s="22"/>
      <c r="T698" s="2"/>
      <c r="V698" s="2"/>
      <c r="Y698" s="1"/>
      <c r="Z698" s="3"/>
    </row>
    <row r="699" spans="15:26" x14ac:dyDescent="0.3">
      <c r="O699" s="22"/>
      <c r="T699" s="2"/>
      <c r="V699" s="2"/>
      <c r="Y699" s="1"/>
      <c r="Z699" s="3"/>
    </row>
    <row r="700" spans="15:26" x14ac:dyDescent="0.3">
      <c r="O700" s="22"/>
      <c r="T700" s="2"/>
      <c r="V700" s="2"/>
      <c r="Y700" s="1"/>
      <c r="Z700" s="3"/>
    </row>
    <row r="701" spans="15:26" x14ac:dyDescent="0.3">
      <c r="O701" s="22"/>
      <c r="T701" s="2"/>
      <c r="V701" s="2"/>
      <c r="Y701" s="1"/>
      <c r="Z701" s="3"/>
    </row>
    <row r="702" spans="15:26" x14ac:dyDescent="0.3">
      <c r="O702" s="22"/>
    </row>
    <row r="703" spans="15:26" x14ac:dyDescent="0.3">
      <c r="O703" s="22"/>
    </row>
    <row r="704" spans="15:26" x14ac:dyDescent="0.3">
      <c r="O704" s="22"/>
    </row>
    <row r="705" spans="15:15" x14ac:dyDescent="0.3">
      <c r="O705" s="22"/>
    </row>
    <row r="706" spans="15:15" x14ac:dyDescent="0.3">
      <c r="O706" s="22"/>
    </row>
    <row r="707" spans="15:15" x14ac:dyDescent="0.3">
      <c r="O707" s="22"/>
    </row>
    <row r="708" spans="15:15" x14ac:dyDescent="0.3">
      <c r="O708" s="22"/>
    </row>
    <row r="709" spans="15:15" x14ac:dyDescent="0.3">
      <c r="O709" s="22"/>
    </row>
    <row r="710" spans="15:15" x14ac:dyDescent="0.3">
      <c r="O710" s="22"/>
    </row>
    <row r="711" spans="15:15" x14ac:dyDescent="0.3">
      <c r="O711" s="22"/>
    </row>
    <row r="712" spans="15:15" x14ac:dyDescent="0.3">
      <c r="O712" s="22"/>
    </row>
    <row r="713" spans="15:15" x14ac:dyDescent="0.3">
      <c r="O713" s="22"/>
    </row>
    <row r="714" spans="15:15" x14ac:dyDescent="0.3">
      <c r="O714" s="22"/>
    </row>
    <row r="715" spans="15:15" x14ac:dyDescent="0.3">
      <c r="O715" s="22"/>
    </row>
    <row r="716" spans="15:15" x14ac:dyDescent="0.3">
      <c r="O716" s="22"/>
    </row>
    <row r="717" spans="15:15" x14ac:dyDescent="0.3">
      <c r="O717" s="22"/>
    </row>
    <row r="718" spans="15:15" x14ac:dyDescent="0.3">
      <c r="O718" s="22"/>
    </row>
    <row r="719" spans="15:15" x14ac:dyDescent="0.3">
      <c r="O719" s="22"/>
    </row>
    <row r="720" spans="15:15" x14ac:dyDescent="0.3">
      <c r="O720" s="22"/>
    </row>
    <row r="721" spans="15:15" x14ac:dyDescent="0.3">
      <c r="O721" s="22"/>
    </row>
    <row r="722" spans="15:15" x14ac:dyDescent="0.3">
      <c r="O722" s="22"/>
    </row>
    <row r="723" spans="15:15" x14ac:dyDescent="0.3">
      <c r="O723" s="22"/>
    </row>
    <row r="724" spans="15:15" x14ac:dyDescent="0.3">
      <c r="O724" s="22"/>
    </row>
    <row r="725" spans="15:15" x14ac:dyDescent="0.3">
      <c r="O725" s="22"/>
    </row>
    <row r="726" spans="15:15" x14ac:dyDescent="0.3">
      <c r="O726" s="22"/>
    </row>
    <row r="727" spans="15:15" x14ac:dyDescent="0.3">
      <c r="O727" s="22"/>
    </row>
    <row r="728" spans="15:15" x14ac:dyDescent="0.3">
      <c r="O728" s="22"/>
    </row>
    <row r="729" spans="15:15" x14ac:dyDescent="0.3">
      <c r="O729" s="22"/>
    </row>
    <row r="730" spans="15:15" x14ac:dyDescent="0.3">
      <c r="O730" s="22"/>
    </row>
    <row r="731" spans="15:15" x14ac:dyDescent="0.3">
      <c r="O731" s="22"/>
    </row>
    <row r="732" spans="15:15" x14ac:dyDescent="0.3">
      <c r="O732" s="22"/>
    </row>
    <row r="733" spans="15:15" x14ac:dyDescent="0.3">
      <c r="O733" s="22"/>
    </row>
  </sheetData>
  <conditionalFormatting sqref="O4:P4 Z4:Z152 P5:P106 D106:D152 F106:F152 J106:J152 L106:L152 T106:T152 V106:V152 AF107:AF152 N4:N185 X4 X6:X37 X39:X152 O5:O20">
    <cfRule type="expression" dxfId="65" priority="42">
      <formula>IF(LEN(D4)&gt;_xlfn.NUMBERVALUE(TRIM(LEFT(D$3,3))),TRUE,FALSE)</formula>
    </cfRule>
  </conditionalFormatting>
  <conditionalFormatting sqref="AF524:AF1048576">
    <cfRule type="expression" dxfId="64" priority="41">
      <formula>IF(LEN(AF524)&gt;_xlfn.NUMBERVALUE(TRIM(LEFT(AF$3,3))),TRUE,FALSE)</formula>
    </cfRule>
  </conditionalFormatting>
  <conditionalFormatting sqref="V153:V224">
    <cfRule type="expression" dxfId="63" priority="22">
      <formula>IF(LEN(V153)&gt;_xlfn.NUMBERVALUE(TRIM(LEFT(V$3,3))),TRUE,FALSE)</formula>
    </cfRule>
  </conditionalFormatting>
  <conditionalFormatting sqref="X153:X224">
    <cfRule type="expression" dxfId="62" priority="21">
      <formula>IF(LEN(X153)&gt;_xlfn.NUMBERVALUE(TRIM(LEFT(X$3,3))),TRUE,FALSE)</formula>
    </cfRule>
  </conditionalFormatting>
  <conditionalFormatting sqref="Z153:Z224">
    <cfRule type="expression" dxfId="61" priority="20">
      <formula>IF(LEN(Z153)&gt;_xlfn.NUMBERVALUE(TRIM(LEFT(Z$3,3))),TRUE,FALSE)</formula>
    </cfRule>
  </conditionalFormatting>
  <conditionalFormatting sqref="AF153:AF224">
    <cfRule type="expression" dxfId="60" priority="19">
      <formula>IF(LEN(AF153)&gt;_xlfn.NUMBERVALUE(TRIM(LEFT(AF$3,3))),TRUE,FALSE)</formula>
    </cfRule>
  </conditionalFormatting>
  <conditionalFormatting sqref="T225:T701">
    <cfRule type="expression" dxfId="59" priority="35">
      <formula>IF(LEN(T225)&gt;_xlfn.NUMBERVALUE(TRIM(LEFT(T$3,3))),TRUE,FALSE)</formula>
    </cfRule>
  </conditionalFormatting>
  <conditionalFormatting sqref="V225:V701">
    <cfRule type="expression" dxfId="58" priority="34">
      <formula>IF(LEN(V225)&gt;_xlfn.NUMBERVALUE(TRIM(LEFT(V$3,3))),TRUE,FALSE)</formula>
    </cfRule>
  </conditionalFormatting>
  <conditionalFormatting sqref="X225:X701">
    <cfRule type="expression" dxfId="57" priority="33">
      <formula>IF(LEN(X225)&gt;_xlfn.NUMBERVALUE(TRIM(LEFT(X$3,3))),TRUE,FALSE)</formula>
    </cfRule>
  </conditionalFormatting>
  <conditionalFormatting sqref="Z225:Z523">
    <cfRule type="expression" dxfId="56" priority="29">
      <formula>IF(LEN(Z225)&gt;_xlfn.NUMBERVALUE(TRIM(LEFT(Z$3,3))),TRUE,FALSE)</formula>
    </cfRule>
  </conditionalFormatting>
  <conditionalFormatting sqref="AF225:AF523">
    <cfRule type="expression" dxfId="55" priority="28">
      <formula>IF(LEN(AF225)&gt;_xlfn.NUMBERVALUE(TRIM(LEFT(AF$3,3))),TRUE,FALSE)</formula>
    </cfRule>
  </conditionalFormatting>
  <conditionalFormatting sqref="D153:D224">
    <cfRule type="expression" dxfId="54" priority="27">
      <formula>IF(LEN(D153)&gt;_xlfn.NUMBERVALUE(TRIM(LEFT(D$3,3))),TRUE,FALSE)</formula>
    </cfRule>
  </conditionalFormatting>
  <conditionalFormatting sqref="F153:F224">
    <cfRule type="expression" dxfId="53" priority="26">
      <formula>IF(LEN(F153)&gt;_xlfn.NUMBERVALUE(TRIM(LEFT(F$3,3))),TRUE,FALSE)</formula>
    </cfRule>
  </conditionalFormatting>
  <conditionalFormatting sqref="J153:J224">
    <cfRule type="expression" dxfId="52" priority="25">
      <formula>IF(LEN(J153)&gt;_xlfn.NUMBERVALUE(TRIM(LEFT(J$3,3))),TRUE,FALSE)</formula>
    </cfRule>
  </conditionalFormatting>
  <conditionalFormatting sqref="L153:L224">
    <cfRule type="expression" dxfId="51" priority="24">
      <formula>IF(LEN(L153)&gt;_xlfn.NUMBERVALUE(TRIM(LEFT(L$3,3))),TRUE,FALSE)</formula>
    </cfRule>
  </conditionalFormatting>
  <conditionalFormatting sqref="T153:T224">
    <cfRule type="expression" dxfId="50" priority="23">
      <formula>IF(LEN(T153)&gt;_xlfn.NUMBERVALUE(TRIM(LEFT(T$3,3))),TRUE,FALSE)</formula>
    </cfRule>
  </conditionalFormatting>
  <conditionalFormatting sqref="D4:D105">
    <cfRule type="expression" dxfId="49" priority="9">
      <formula>IF(LEN(D4)&gt;_xlfn.NUMBERVALUE(TRIM(LEFT(D$3,3))),TRUE,FALSE)</formula>
    </cfRule>
  </conditionalFormatting>
  <conditionalFormatting sqref="F4:F105">
    <cfRule type="expression" dxfId="48" priority="8">
      <formula>IF(LEN(F4)&gt;_xlfn.NUMBERVALUE(TRIM(LEFT(F$3,3))),TRUE,FALSE)</formula>
    </cfRule>
  </conditionalFormatting>
  <conditionalFormatting sqref="J4:J105">
    <cfRule type="expression" dxfId="47" priority="7">
      <formula>IF(LEN(J4)&gt;_xlfn.NUMBERVALUE(TRIM(LEFT(J$3,3))),TRUE,FALSE)</formula>
    </cfRule>
  </conditionalFormatting>
  <conditionalFormatting sqref="L4:L105">
    <cfRule type="expression" dxfId="46" priority="6">
      <formula>IF(LEN(L4)&gt;_xlfn.NUMBERVALUE(TRIM(LEFT(L$3,3))),TRUE,FALSE)</formula>
    </cfRule>
  </conditionalFormatting>
  <conditionalFormatting sqref="V4:V105">
    <cfRule type="expression" dxfId="45" priority="4">
      <formula>IF(LEN(V4)&gt;_xlfn.NUMBERVALUE(TRIM(LEFT(V$3,3))),TRUE,FALSE)</formula>
    </cfRule>
  </conditionalFormatting>
  <conditionalFormatting sqref="T4:T105">
    <cfRule type="expression" dxfId="44" priority="5">
      <formula>IF(LEN(T4)&gt;_xlfn.NUMBERVALUE(TRIM(LEFT(T$3,3))),TRUE,FALSE)</formula>
    </cfRule>
  </conditionalFormatting>
  <conditionalFormatting sqref="AF106">
    <cfRule type="expression" dxfId="43" priority="3">
      <formula>IF(LEN(AF106)&gt;_xlfn.NUMBERVALUE(TRIM(LEFT(AF$3,3))),TRUE,FALSE)</formula>
    </cfRule>
  </conditionalFormatting>
  <conditionalFormatting sqref="AF4:AF105">
    <cfRule type="expression" dxfId="42" priority="2">
      <formula>IF(LEN(AF4)&gt;_xlfn.NUMBERVALUE(TRIM(LEFT(AF$3,3))),TRUE,FALSE)</formula>
    </cfRule>
  </conditionalFormatting>
  <conditionalFormatting sqref="X38">
    <cfRule type="expression" dxfId="41" priority="1">
      <formula>IF(LEN(X38)&gt;_xlfn.NUMBERVALUE(TRIM(LEFT(X$3,3))),TRUE,FALSE)</formula>
    </cfRule>
  </conditionalFormatting>
  <dataValidations xWindow="1566" yWindow="490" count="6">
    <dataValidation type="list" allowBlank="1" showInputMessage="1" showErrorMessage="1" errorTitle="Invalid Country" prompt="Select a Country" sqref="X702:X1048576 Z524:Z701" xr:uid="{00000000-0002-0000-0400-000000000000}">
      <formula1>Country</formula1>
    </dataValidation>
    <dataValidation type="list" allowBlank="1" showInputMessage="1" showErrorMessage="1" errorTitle="Invalid Organization Type" promptTitle="Select an Organization Type" sqref="H232:H1048576 H4:H228" xr:uid="{00000000-0002-0000-0400-000001000000}">
      <formula1>OrganizationType</formula1>
    </dataValidation>
    <dataValidation type="list" allowBlank="1" showInputMessage="1" showErrorMessage="1" sqref="P107:P224" xr:uid="{00000000-0002-0000-0400-000002000000}">
      <formula1>"Owned by State, Leased by State, No Longer Leased by State"</formula1>
    </dataValidation>
    <dataValidation type="list" allowBlank="1" showInputMessage="1" showErrorMessage="1" sqref="P4:P106" xr:uid="{00000000-0002-0000-0400-000003000000}">
      <formula1>"Property Owned by State, Property Leased by State, No Longer Leased by State"</formula1>
    </dataValidation>
    <dataValidation type="list" allowBlank="1" showInputMessage="1" showErrorMessage="1" sqref="AD4:AD1048576" xr:uid="{00000000-0002-0000-0400-000004000000}">
      <formula1>FloorAreaUnit</formula1>
    </dataValidation>
    <dataValidation allowBlank="1" showInputMessage="1" showErrorMessage="1" errorTitle="Data Validation" error="Data must be numeric and between 0 and 99999999." sqref="AB4:AB1048576" xr:uid="{00000000-0002-0000-0400-000005000000}"/>
  </dataValidations>
  <pageMargins left="0.7" right="0.7" top="0.75" bottom="0.75" header="0.3" footer="0.3"/>
  <pageSetup scale="39" orientation="landscape" r:id="rId1"/>
  <tableParts count="1">
    <tablePart r:id="rId2"/>
  </tableParts>
  <extLst>
    <ext xmlns:x14="http://schemas.microsoft.com/office/spreadsheetml/2009/9/main" uri="{CCE6A557-97BC-4b89-ADB6-D9C93CAAB3DF}">
      <x14:dataValidations xmlns:xm="http://schemas.microsoft.com/office/excel/2006/main" xWindow="1566" yWindow="490" count="6">
        <x14:dataValidation type="list" allowBlank="1" showInputMessage="1" showErrorMessage="1" xr:uid="{00000000-0002-0000-0400-000006000000}">
          <x14:formula1>
            <xm:f>'STEP 1-B. Natural Gas Meters'!$D$3:$D$7</xm:f>
          </x14:formula1>
          <xm:sqref>Q225</xm:sqref>
        </x14:dataValidation>
        <x14:dataValidation type="list" allowBlank="1" showInputMessage="1" showErrorMessage="1" xr:uid="{00000000-0002-0000-0400-000007000000}">
          <x14:formula1>
            <xm:f>'STEP 1-A. Electric Meters'!$F$3:$F$8</xm:f>
          </x14:formula1>
          <xm:sqref>Q107:Q224</xm:sqref>
        </x14:dataValidation>
        <x14:dataValidation type="list" allowBlank="1" showInputMessage="1" showErrorMessage="1" xr:uid="{00000000-0002-0000-0400-000008000000}">
          <x14:formula1>
            <xm:f>'STEP 1-A. Electric Meters'!$D$3:$D$202</xm:f>
          </x14:formula1>
          <xm:sqref>P225</xm:sqref>
        </x14:dataValidation>
        <x14:dataValidation type="list" allowBlank="1" showInputMessage="1" showErrorMessage="1" xr:uid="{00000000-0002-0000-0400-000009000000}">
          <x14:formula1>
            <xm:f>'STEP 1-A. Electric Meters'!$F$3:$F$69</xm:f>
          </x14:formula1>
          <xm:sqref>Q4:Q106</xm:sqref>
        </x14:dataValidation>
        <x14:dataValidation type="list" allowBlank="1" showInputMessage="1" showErrorMessage="1" xr:uid="{00000000-0002-0000-0400-00000A000000}">
          <x14:formula1>
            <xm:f>'STEP 1-B. Natural Gas Meters'!$F$3:$F$7</xm:f>
          </x14:formula1>
          <xm:sqref>R4:R224</xm:sqref>
        </x14:dataValidation>
        <x14:dataValidation type="list" allowBlank="1" showInputMessage="1" showErrorMessage="1" xr:uid="{00000000-0002-0000-0400-00000B000000}">
          <x14:formula1>
            <xm:f>'Prefered Primary Use List'!$A$2:$A$119</xm:f>
          </x14:formula1>
          <xm:sqref>AH4:AH224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8"/>
  </sheetPr>
  <dimension ref="A1:B119"/>
  <sheetViews>
    <sheetView topLeftCell="A61" workbookViewId="0">
      <selection activeCell="F10" sqref="F10"/>
    </sheetView>
  </sheetViews>
  <sheetFormatPr defaultRowHeight="14.4" x14ac:dyDescent="0.3"/>
  <cols>
    <col min="1" max="1" width="57" customWidth="1"/>
    <col min="2" max="2" width="81.33203125" customWidth="1"/>
  </cols>
  <sheetData>
    <row r="1" spans="1:2" x14ac:dyDescent="0.3">
      <c r="A1" s="17" t="s">
        <v>505</v>
      </c>
      <c r="B1" s="64" t="s">
        <v>506</v>
      </c>
    </row>
    <row r="2" spans="1:2" ht="43.2" x14ac:dyDescent="0.3">
      <c r="A2" s="18" t="s">
        <v>236</v>
      </c>
      <c r="B2" s="64" t="s">
        <v>344</v>
      </c>
    </row>
    <row r="3" spans="1:2" x14ac:dyDescent="0.3">
      <c r="A3" s="18" t="s">
        <v>237</v>
      </c>
      <c r="B3" s="64" t="s">
        <v>345</v>
      </c>
    </row>
    <row r="4" spans="1:2" ht="28.8" x14ac:dyDescent="0.3">
      <c r="A4" s="18" t="s">
        <v>238</v>
      </c>
      <c r="B4" s="64" t="s">
        <v>346</v>
      </c>
    </row>
    <row r="5" spans="1:2" x14ac:dyDescent="0.3">
      <c r="A5" s="18" t="s">
        <v>239</v>
      </c>
      <c r="B5" s="64" t="s">
        <v>347</v>
      </c>
    </row>
    <row r="6" spans="1:2" x14ac:dyDescent="0.3">
      <c r="A6" s="18" t="s">
        <v>240</v>
      </c>
      <c r="B6" s="64" t="s">
        <v>348</v>
      </c>
    </row>
    <row r="7" spans="1:2" ht="28.8" x14ac:dyDescent="0.3">
      <c r="A7" s="18" t="s">
        <v>241</v>
      </c>
      <c r="B7" s="64" t="s">
        <v>349</v>
      </c>
    </row>
    <row r="8" spans="1:2" x14ac:dyDescent="0.3">
      <c r="A8" s="18" t="s">
        <v>242</v>
      </c>
      <c r="B8" s="64" t="s">
        <v>350</v>
      </c>
    </row>
    <row r="9" spans="1:2" ht="28.8" x14ac:dyDescent="0.3">
      <c r="A9" s="18" t="s">
        <v>243</v>
      </c>
      <c r="B9" s="64" t="s">
        <v>351</v>
      </c>
    </row>
    <row r="10" spans="1:2" ht="57.6" x14ac:dyDescent="0.3">
      <c r="A10" s="18" t="s">
        <v>244</v>
      </c>
      <c r="B10" s="64" t="s">
        <v>352</v>
      </c>
    </row>
    <row r="11" spans="1:2" x14ac:dyDescent="0.3">
      <c r="A11" s="18" t="s">
        <v>245</v>
      </c>
      <c r="B11" s="64" t="s">
        <v>353</v>
      </c>
    </row>
    <row r="12" spans="1:2" ht="28.8" x14ac:dyDescent="0.3">
      <c r="A12" s="18" t="s">
        <v>246</v>
      </c>
      <c r="B12" s="64" t="s">
        <v>354</v>
      </c>
    </row>
    <row r="13" spans="1:2" x14ac:dyDescent="0.3">
      <c r="A13" s="18" t="s">
        <v>247</v>
      </c>
      <c r="B13" s="64" t="s">
        <v>355</v>
      </c>
    </row>
    <row r="14" spans="1:2" ht="28.8" x14ac:dyDescent="0.3">
      <c r="A14" s="18" t="s">
        <v>248</v>
      </c>
      <c r="B14" s="64" t="s">
        <v>356</v>
      </c>
    </row>
    <row r="15" spans="1:2" ht="28.8" x14ac:dyDescent="0.3">
      <c r="A15" s="18" t="s">
        <v>249</v>
      </c>
      <c r="B15" s="64" t="s">
        <v>357</v>
      </c>
    </row>
    <row r="16" spans="1:2" x14ac:dyDescent="0.3">
      <c r="A16" s="18" t="s">
        <v>250</v>
      </c>
      <c r="B16" s="64" t="s">
        <v>358</v>
      </c>
    </row>
    <row r="17" spans="1:2" ht="28.8" x14ac:dyDescent="0.3">
      <c r="A17" s="18" t="s">
        <v>251</v>
      </c>
      <c r="B17" s="64" t="s">
        <v>359</v>
      </c>
    </row>
    <row r="18" spans="1:2" x14ac:dyDescent="0.3">
      <c r="A18" s="18" t="s">
        <v>252</v>
      </c>
      <c r="B18" s="64" t="s">
        <v>360</v>
      </c>
    </row>
    <row r="19" spans="1:2" ht="57.6" x14ac:dyDescent="0.3">
      <c r="A19" s="18" t="s">
        <v>253</v>
      </c>
      <c r="B19" s="64" t="s">
        <v>361</v>
      </c>
    </row>
    <row r="20" spans="1:2" ht="43.2" x14ac:dyDescent="0.3">
      <c r="A20" s="18" t="s">
        <v>254</v>
      </c>
      <c r="B20" s="64" t="s">
        <v>362</v>
      </c>
    </row>
    <row r="21" spans="1:2" ht="72" x14ac:dyDescent="0.3">
      <c r="A21" s="18" t="s">
        <v>255</v>
      </c>
      <c r="B21" s="64" t="s">
        <v>363</v>
      </c>
    </row>
    <row r="22" spans="1:2" ht="43.2" x14ac:dyDescent="0.3">
      <c r="A22" s="18" t="s">
        <v>256</v>
      </c>
      <c r="B22" s="64" t="s">
        <v>364</v>
      </c>
    </row>
    <row r="23" spans="1:2" ht="129.6" x14ac:dyDescent="0.3">
      <c r="A23" s="18" t="s">
        <v>257</v>
      </c>
      <c r="B23" s="64" t="s">
        <v>365</v>
      </c>
    </row>
    <row r="24" spans="1:2" ht="28.8" x14ac:dyDescent="0.3">
      <c r="A24" s="18" t="s">
        <v>258</v>
      </c>
      <c r="B24" s="64" t="s">
        <v>366</v>
      </c>
    </row>
    <row r="25" spans="1:2" ht="28.8" x14ac:dyDescent="0.3">
      <c r="A25" s="18" t="s">
        <v>259</v>
      </c>
      <c r="B25" s="64" t="s">
        <v>367</v>
      </c>
    </row>
    <row r="26" spans="1:2" ht="28.8" x14ac:dyDescent="0.3">
      <c r="A26" s="18" t="s">
        <v>228</v>
      </c>
      <c r="B26" s="64" t="s">
        <v>368</v>
      </c>
    </row>
    <row r="27" spans="1:2" ht="57.6" x14ac:dyDescent="0.3">
      <c r="A27" s="18" t="s">
        <v>260</v>
      </c>
      <c r="B27" s="64" t="s">
        <v>369</v>
      </c>
    </row>
    <row r="28" spans="1:2" ht="43.2" x14ac:dyDescent="0.3">
      <c r="A28" s="18" t="s">
        <v>261</v>
      </c>
      <c r="B28" s="64" t="s">
        <v>370</v>
      </c>
    </row>
    <row r="29" spans="1:2" ht="72" x14ac:dyDescent="0.3">
      <c r="A29" s="18" t="s">
        <v>262</v>
      </c>
      <c r="B29" s="64" t="s">
        <v>371</v>
      </c>
    </row>
    <row r="30" spans="1:2" ht="57.6" x14ac:dyDescent="0.3">
      <c r="A30" s="18" t="s">
        <v>263</v>
      </c>
      <c r="B30" s="64" t="s">
        <v>372</v>
      </c>
    </row>
    <row r="31" spans="1:2" ht="28.8" x14ac:dyDescent="0.3">
      <c r="A31" s="18" t="s">
        <v>264</v>
      </c>
      <c r="B31" s="64" t="s">
        <v>373</v>
      </c>
    </row>
    <row r="32" spans="1:2" ht="28.8" x14ac:dyDescent="0.3">
      <c r="A32" s="18" t="s">
        <v>224</v>
      </c>
      <c r="B32" s="64" t="s">
        <v>374</v>
      </c>
    </row>
    <row r="33" spans="1:2" ht="28.8" x14ac:dyDescent="0.3">
      <c r="A33" s="18" t="s">
        <v>265</v>
      </c>
      <c r="B33" s="64" t="s">
        <v>375</v>
      </c>
    </row>
    <row r="34" spans="1:2" ht="28.8" x14ac:dyDescent="0.3">
      <c r="A34" s="18" t="s">
        <v>266</v>
      </c>
      <c r="B34" s="64" t="s">
        <v>376</v>
      </c>
    </row>
    <row r="35" spans="1:2" ht="57.6" x14ac:dyDescent="0.3">
      <c r="A35" s="18" t="s">
        <v>267</v>
      </c>
      <c r="B35" s="64" t="s">
        <v>377</v>
      </c>
    </row>
    <row r="36" spans="1:2" ht="28.8" x14ac:dyDescent="0.3">
      <c r="A36" s="18" t="s">
        <v>268</v>
      </c>
      <c r="B36" s="64" t="s">
        <v>378</v>
      </c>
    </row>
    <row r="37" spans="1:2" x14ac:dyDescent="0.3">
      <c r="A37" s="18" t="s">
        <v>269</v>
      </c>
      <c r="B37" s="64" t="s">
        <v>379</v>
      </c>
    </row>
    <row r="38" spans="1:2" ht="28.8" x14ac:dyDescent="0.3">
      <c r="A38" s="18" t="s">
        <v>270</v>
      </c>
      <c r="B38" s="64" t="s">
        <v>380</v>
      </c>
    </row>
    <row r="39" spans="1:2" x14ac:dyDescent="0.3">
      <c r="A39" s="18" t="s">
        <v>229</v>
      </c>
      <c r="B39" s="64" t="s">
        <v>381</v>
      </c>
    </row>
    <row r="40" spans="1:2" x14ac:dyDescent="0.3">
      <c r="A40" s="18" t="s">
        <v>251</v>
      </c>
      <c r="B40" s="64" t="s">
        <v>382</v>
      </c>
    </row>
    <row r="41" spans="1:2" ht="115.2" x14ac:dyDescent="0.3">
      <c r="A41" s="18" t="s">
        <v>271</v>
      </c>
      <c r="B41" s="64" t="s">
        <v>383</v>
      </c>
    </row>
    <row r="42" spans="1:2" ht="115.2" x14ac:dyDescent="0.3">
      <c r="A42" s="18" t="s">
        <v>272</v>
      </c>
      <c r="B42" s="64" t="s">
        <v>384</v>
      </c>
    </row>
    <row r="43" spans="1:2" ht="28.8" x14ac:dyDescent="0.3">
      <c r="A43" s="18" t="s">
        <v>273</v>
      </c>
      <c r="B43" s="64" t="s">
        <v>385</v>
      </c>
    </row>
    <row r="44" spans="1:2" ht="57.6" x14ac:dyDescent="0.3">
      <c r="A44" s="18" t="s">
        <v>274</v>
      </c>
      <c r="B44" s="64" t="s">
        <v>386</v>
      </c>
    </row>
    <row r="45" spans="1:2" ht="57.6" x14ac:dyDescent="0.3">
      <c r="A45" s="18" t="s">
        <v>275</v>
      </c>
      <c r="B45" s="64" t="s">
        <v>387</v>
      </c>
    </row>
    <row r="46" spans="1:2" x14ac:dyDescent="0.3">
      <c r="A46" s="18" t="s">
        <v>276</v>
      </c>
      <c r="B46" s="64" t="s">
        <v>388</v>
      </c>
    </row>
    <row r="47" spans="1:2" x14ac:dyDescent="0.3">
      <c r="A47" s="18" t="s">
        <v>277</v>
      </c>
      <c r="B47" s="64" t="s">
        <v>389</v>
      </c>
    </row>
    <row r="48" spans="1:2" ht="43.2" x14ac:dyDescent="0.3">
      <c r="A48" s="18" t="s">
        <v>278</v>
      </c>
      <c r="B48" s="64" t="s">
        <v>390</v>
      </c>
    </row>
    <row r="49" spans="1:2" ht="43.2" x14ac:dyDescent="0.3">
      <c r="A49" s="18" t="s">
        <v>279</v>
      </c>
      <c r="B49" s="64" t="s">
        <v>391</v>
      </c>
    </row>
    <row r="50" spans="1:2" ht="43.2" x14ac:dyDescent="0.3">
      <c r="A50" s="18" t="s">
        <v>280</v>
      </c>
      <c r="B50" s="64" t="s">
        <v>392</v>
      </c>
    </row>
    <row r="51" spans="1:2" ht="72" x14ac:dyDescent="0.3">
      <c r="A51" s="18" t="s">
        <v>281</v>
      </c>
      <c r="B51" s="64" t="s">
        <v>393</v>
      </c>
    </row>
    <row r="52" spans="1:2" ht="43.2" x14ac:dyDescent="0.3">
      <c r="A52" s="18" t="s">
        <v>282</v>
      </c>
      <c r="B52" s="64" t="s">
        <v>394</v>
      </c>
    </row>
    <row r="53" spans="1:2" ht="43.2" x14ac:dyDescent="0.3">
      <c r="A53" s="18" t="s">
        <v>283</v>
      </c>
      <c r="B53" s="64" t="s">
        <v>395</v>
      </c>
    </row>
    <row r="54" spans="1:2" x14ac:dyDescent="0.3">
      <c r="A54" s="18" t="s">
        <v>284</v>
      </c>
      <c r="B54" s="64" t="s">
        <v>396</v>
      </c>
    </row>
    <row r="55" spans="1:2" ht="28.8" x14ac:dyDescent="0.3">
      <c r="A55" s="18" t="s">
        <v>285</v>
      </c>
      <c r="B55" s="64" t="s">
        <v>397</v>
      </c>
    </row>
    <row r="56" spans="1:2" ht="28.8" x14ac:dyDescent="0.3">
      <c r="A56" s="18" t="s">
        <v>286</v>
      </c>
      <c r="B56" s="64" t="s">
        <v>398</v>
      </c>
    </row>
    <row r="57" spans="1:2" x14ac:dyDescent="0.3">
      <c r="A57" s="18" t="s">
        <v>287</v>
      </c>
      <c r="B57" s="64" t="s">
        <v>399</v>
      </c>
    </row>
    <row r="58" spans="1:2" ht="57.6" x14ac:dyDescent="0.3">
      <c r="A58" s="18" t="s">
        <v>288</v>
      </c>
      <c r="B58" s="64" t="s">
        <v>400</v>
      </c>
    </row>
    <row r="59" spans="1:2" ht="28.8" x14ac:dyDescent="0.3">
      <c r="A59" s="18" t="s">
        <v>289</v>
      </c>
      <c r="B59" s="64" t="s">
        <v>401</v>
      </c>
    </row>
    <row r="60" spans="1:2" x14ac:dyDescent="0.3">
      <c r="A60" s="18" t="s">
        <v>290</v>
      </c>
      <c r="B60" s="64" t="s">
        <v>402</v>
      </c>
    </row>
    <row r="61" spans="1:2" ht="28.8" x14ac:dyDescent="0.3">
      <c r="A61" s="18" t="s">
        <v>269</v>
      </c>
      <c r="B61" s="64" t="s">
        <v>403</v>
      </c>
    </row>
    <row r="62" spans="1:2" ht="57.6" x14ac:dyDescent="0.3">
      <c r="A62" s="18" t="s">
        <v>2</v>
      </c>
      <c r="B62" s="64" t="s">
        <v>404</v>
      </c>
    </row>
    <row r="63" spans="1:2" ht="57.6" x14ac:dyDescent="0.3">
      <c r="A63" s="18" t="s">
        <v>291</v>
      </c>
      <c r="B63" s="64" t="s">
        <v>405</v>
      </c>
    </row>
    <row r="64" spans="1:2" ht="43.2" x14ac:dyDescent="0.3">
      <c r="A64" s="18" t="s">
        <v>292</v>
      </c>
      <c r="B64" s="64" t="s">
        <v>406</v>
      </c>
    </row>
    <row r="65" spans="1:2" ht="57.6" x14ac:dyDescent="0.3">
      <c r="A65" s="18" t="s">
        <v>293</v>
      </c>
      <c r="B65" s="64" t="s">
        <v>407</v>
      </c>
    </row>
    <row r="66" spans="1:2" ht="28.8" x14ac:dyDescent="0.3">
      <c r="A66" s="18" t="s">
        <v>294</v>
      </c>
      <c r="B66" s="64" t="s">
        <v>408</v>
      </c>
    </row>
    <row r="67" spans="1:2" ht="100.8" x14ac:dyDescent="0.3">
      <c r="A67" s="18" t="s">
        <v>295</v>
      </c>
      <c r="B67" s="64" t="s">
        <v>409</v>
      </c>
    </row>
    <row r="68" spans="1:2" ht="28.8" x14ac:dyDescent="0.3">
      <c r="A68" s="18" t="s">
        <v>296</v>
      </c>
      <c r="B68" s="64" t="s">
        <v>410</v>
      </c>
    </row>
    <row r="69" spans="1:2" ht="43.2" x14ac:dyDescent="0.3">
      <c r="A69" s="18" t="s">
        <v>297</v>
      </c>
      <c r="B69" s="64" t="s">
        <v>411</v>
      </c>
    </row>
    <row r="70" spans="1:2" ht="43.2" x14ac:dyDescent="0.3">
      <c r="A70" s="18" t="s">
        <v>298</v>
      </c>
      <c r="B70" s="64" t="s">
        <v>412</v>
      </c>
    </row>
    <row r="71" spans="1:2" ht="28.8" x14ac:dyDescent="0.3">
      <c r="A71" s="18" t="s">
        <v>299</v>
      </c>
      <c r="B71" s="64" t="s">
        <v>413</v>
      </c>
    </row>
    <row r="72" spans="1:2" ht="28.8" x14ac:dyDescent="0.3">
      <c r="A72" s="18" t="s">
        <v>300</v>
      </c>
      <c r="B72" s="64" t="s">
        <v>414</v>
      </c>
    </row>
    <row r="73" spans="1:2" ht="57.6" x14ac:dyDescent="0.3">
      <c r="A73" s="18" t="s">
        <v>301</v>
      </c>
      <c r="B73" s="64" t="s">
        <v>415</v>
      </c>
    </row>
    <row r="74" spans="1:2" ht="28.8" x14ac:dyDescent="0.3">
      <c r="A74" s="18" t="s">
        <v>302</v>
      </c>
      <c r="B74" s="64" t="s">
        <v>416</v>
      </c>
    </row>
    <row r="75" spans="1:2" ht="28.8" x14ac:dyDescent="0.3">
      <c r="A75" s="18" t="s">
        <v>303</v>
      </c>
      <c r="B75" s="64" t="s">
        <v>417</v>
      </c>
    </row>
    <row r="76" spans="1:2" ht="28.8" x14ac:dyDescent="0.3">
      <c r="A76" s="18" t="s">
        <v>304</v>
      </c>
      <c r="B76" s="64" t="s">
        <v>418</v>
      </c>
    </row>
    <row r="77" spans="1:2" ht="72" x14ac:dyDescent="0.3">
      <c r="A77" s="18" t="s">
        <v>305</v>
      </c>
      <c r="B77" s="64" t="s">
        <v>419</v>
      </c>
    </row>
    <row r="78" spans="1:2" x14ac:dyDescent="0.3">
      <c r="A78" s="18" t="s">
        <v>306</v>
      </c>
      <c r="B78" s="64" t="s">
        <v>420</v>
      </c>
    </row>
    <row r="79" spans="1:2" ht="28.8" x14ac:dyDescent="0.3">
      <c r="A79" s="18" t="s">
        <v>307</v>
      </c>
      <c r="B79" s="64" t="s">
        <v>421</v>
      </c>
    </row>
    <row r="80" spans="1:2" ht="28.8" x14ac:dyDescent="0.3">
      <c r="A80" s="18" t="s">
        <v>223</v>
      </c>
      <c r="B80" s="64" t="s">
        <v>422</v>
      </c>
    </row>
    <row r="81" spans="1:2" ht="28.8" x14ac:dyDescent="0.3">
      <c r="A81" s="18" t="s">
        <v>308</v>
      </c>
      <c r="B81" s="64" t="s">
        <v>423</v>
      </c>
    </row>
    <row r="82" spans="1:2" ht="28.8" x14ac:dyDescent="0.3">
      <c r="A82" s="18" t="s">
        <v>309</v>
      </c>
      <c r="B82" s="64" t="s">
        <v>424</v>
      </c>
    </row>
    <row r="83" spans="1:2" x14ac:dyDescent="0.3">
      <c r="A83" s="18" t="s">
        <v>310</v>
      </c>
      <c r="B83" s="64" t="s">
        <v>425</v>
      </c>
    </row>
    <row r="84" spans="1:2" x14ac:dyDescent="0.3">
      <c r="A84" s="18" t="s">
        <v>311</v>
      </c>
      <c r="B84" s="64" t="s">
        <v>426</v>
      </c>
    </row>
    <row r="85" spans="1:2" ht="28.8" x14ac:dyDescent="0.3">
      <c r="A85" s="18" t="s">
        <v>312</v>
      </c>
      <c r="B85" s="64" t="s">
        <v>427</v>
      </c>
    </row>
    <row r="86" spans="1:2" ht="28.8" x14ac:dyDescent="0.3">
      <c r="A86" s="18" t="s">
        <v>313</v>
      </c>
      <c r="B86" s="64" t="s">
        <v>428</v>
      </c>
    </row>
    <row r="87" spans="1:2" ht="28.8" x14ac:dyDescent="0.3">
      <c r="A87" s="18" t="s">
        <v>314</v>
      </c>
      <c r="B87" s="64" t="s">
        <v>429</v>
      </c>
    </row>
    <row r="88" spans="1:2" ht="28.8" x14ac:dyDescent="0.3">
      <c r="A88" s="18" t="s">
        <v>315</v>
      </c>
      <c r="B88" s="64" t="s">
        <v>430</v>
      </c>
    </row>
    <row r="89" spans="1:2" ht="86.4" x14ac:dyDescent="0.3">
      <c r="A89" s="18" t="s">
        <v>316</v>
      </c>
      <c r="B89" s="64" t="s">
        <v>431</v>
      </c>
    </row>
    <row r="90" spans="1:2" ht="43.2" x14ac:dyDescent="0.3">
      <c r="A90" s="18" t="s">
        <v>317</v>
      </c>
      <c r="B90" s="64" t="s">
        <v>432</v>
      </c>
    </row>
    <row r="91" spans="1:2" x14ac:dyDescent="0.3">
      <c r="A91" s="18" t="s">
        <v>318</v>
      </c>
      <c r="B91" s="64" t="s">
        <v>433</v>
      </c>
    </row>
    <row r="92" spans="1:2" ht="57.6" x14ac:dyDescent="0.3">
      <c r="A92" s="18" t="s">
        <v>319</v>
      </c>
      <c r="B92" s="64" t="s">
        <v>434</v>
      </c>
    </row>
    <row r="93" spans="1:2" x14ac:dyDescent="0.3">
      <c r="A93" s="18" t="s">
        <v>320</v>
      </c>
      <c r="B93" s="64" t="s">
        <v>435</v>
      </c>
    </row>
    <row r="94" spans="1:2" ht="28.8" x14ac:dyDescent="0.3">
      <c r="A94" s="18" t="s">
        <v>321</v>
      </c>
      <c r="B94" s="64" t="s">
        <v>436</v>
      </c>
    </row>
    <row r="95" spans="1:2" x14ac:dyDescent="0.3">
      <c r="A95" s="18" t="s">
        <v>322</v>
      </c>
      <c r="B95" s="64" t="s">
        <v>437</v>
      </c>
    </row>
    <row r="96" spans="1:2" ht="43.2" x14ac:dyDescent="0.3">
      <c r="A96" s="18" t="s">
        <v>323</v>
      </c>
      <c r="B96" s="64" t="s">
        <v>438</v>
      </c>
    </row>
    <row r="97" spans="1:2" ht="28.8" x14ac:dyDescent="0.3">
      <c r="A97" s="18" t="s">
        <v>324</v>
      </c>
      <c r="B97" s="64" t="s">
        <v>439</v>
      </c>
    </row>
    <row r="98" spans="1:2" x14ac:dyDescent="0.3">
      <c r="A98" s="18" t="s">
        <v>325</v>
      </c>
      <c r="B98" s="64" t="s">
        <v>440</v>
      </c>
    </row>
    <row r="99" spans="1:2" x14ac:dyDescent="0.3">
      <c r="A99" s="18" t="s">
        <v>227</v>
      </c>
      <c r="B99" s="64" t="s">
        <v>441</v>
      </c>
    </row>
    <row r="100" spans="1:2" x14ac:dyDescent="0.3">
      <c r="A100" s="18" t="s">
        <v>326</v>
      </c>
      <c r="B100" s="64" t="s">
        <v>442</v>
      </c>
    </row>
    <row r="101" spans="1:2" ht="28.8" x14ac:dyDescent="0.3">
      <c r="A101" s="18" t="s">
        <v>327</v>
      </c>
      <c r="B101" s="64" t="s">
        <v>443</v>
      </c>
    </row>
    <row r="102" spans="1:2" ht="57.6" x14ac:dyDescent="0.3">
      <c r="A102" s="18" t="s">
        <v>328</v>
      </c>
      <c r="B102" s="64" t="s">
        <v>444</v>
      </c>
    </row>
    <row r="103" spans="1:2" ht="72" x14ac:dyDescent="0.3">
      <c r="A103" s="18" t="s">
        <v>329</v>
      </c>
      <c r="B103" s="64" t="s">
        <v>445</v>
      </c>
    </row>
    <row r="104" spans="1:2" ht="72" x14ac:dyDescent="0.3">
      <c r="A104" s="18" t="s">
        <v>330</v>
      </c>
      <c r="B104" s="64" t="s">
        <v>446</v>
      </c>
    </row>
    <row r="105" spans="1:2" x14ac:dyDescent="0.3">
      <c r="A105" s="18" t="s">
        <v>226</v>
      </c>
      <c r="B105" s="64" t="s">
        <v>447</v>
      </c>
    </row>
    <row r="106" spans="1:2" ht="43.2" x14ac:dyDescent="0.3">
      <c r="A106" s="18" t="s">
        <v>331</v>
      </c>
      <c r="B106" s="64" t="s">
        <v>448</v>
      </c>
    </row>
    <row r="107" spans="1:2" ht="57.6" x14ac:dyDescent="0.3">
      <c r="A107" s="18" t="s">
        <v>332</v>
      </c>
      <c r="B107" s="64" t="s">
        <v>449</v>
      </c>
    </row>
    <row r="108" spans="1:2" x14ac:dyDescent="0.3">
      <c r="A108" s="18" t="s">
        <v>333</v>
      </c>
      <c r="B108" s="64" t="s">
        <v>450</v>
      </c>
    </row>
    <row r="109" spans="1:2" ht="57.6" x14ac:dyDescent="0.3">
      <c r="A109" s="18" t="s">
        <v>334</v>
      </c>
      <c r="B109" s="64" t="s">
        <v>451</v>
      </c>
    </row>
    <row r="110" spans="1:2" ht="43.2" x14ac:dyDescent="0.3">
      <c r="A110" s="18" t="s">
        <v>335</v>
      </c>
      <c r="B110" s="64" t="s">
        <v>452</v>
      </c>
    </row>
    <row r="111" spans="1:2" x14ac:dyDescent="0.3">
      <c r="A111" s="18" t="s">
        <v>182</v>
      </c>
      <c r="B111" s="64" t="s">
        <v>453</v>
      </c>
    </row>
    <row r="112" spans="1:2" x14ac:dyDescent="0.3">
      <c r="A112" s="18" t="s">
        <v>336</v>
      </c>
      <c r="B112" s="64" t="s">
        <v>454</v>
      </c>
    </row>
    <row r="113" spans="1:2" ht="28.8" x14ac:dyDescent="0.3">
      <c r="A113" s="18" t="s">
        <v>337</v>
      </c>
      <c r="B113" s="64" t="s">
        <v>455</v>
      </c>
    </row>
    <row r="114" spans="1:2" ht="43.2" x14ac:dyDescent="0.3">
      <c r="A114" s="18" t="s">
        <v>338</v>
      </c>
      <c r="B114" s="64" t="s">
        <v>456</v>
      </c>
    </row>
    <row r="115" spans="1:2" ht="28.8" x14ac:dyDescent="0.3">
      <c r="A115" s="18" t="s">
        <v>339</v>
      </c>
      <c r="B115" s="64" t="s">
        <v>457</v>
      </c>
    </row>
    <row r="116" spans="1:2" ht="28.8" x14ac:dyDescent="0.3">
      <c r="A116" s="18" t="s">
        <v>340</v>
      </c>
      <c r="B116" s="64" t="s">
        <v>458</v>
      </c>
    </row>
    <row r="117" spans="1:2" ht="86.4" x14ac:dyDescent="0.3">
      <c r="A117" s="14" t="s">
        <v>341</v>
      </c>
      <c r="B117" s="64" t="s">
        <v>459</v>
      </c>
    </row>
    <row r="118" spans="1:2" ht="28.8" x14ac:dyDescent="0.3">
      <c r="A118" s="14" t="s">
        <v>342</v>
      </c>
      <c r="B118" s="64" t="s">
        <v>460</v>
      </c>
    </row>
    <row r="119" spans="1:2" ht="72" x14ac:dyDescent="0.3">
      <c r="A119" s="65" t="s">
        <v>343</v>
      </c>
      <c r="B119" s="66" t="s">
        <v>461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G1:J179"/>
  <sheetViews>
    <sheetView workbookViewId="0"/>
  </sheetViews>
  <sheetFormatPr defaultColWidth="9.109375" defaultRowHeight="14.4" x14ac:dyDescent="0.3"/>
  <cols>
    <col min="1" max="6" width="9.109375" style="5"/>
    <col min="7" max="7" width="15.44140625" style="5" customWidth="1"/>
    <col min="8" max="8" width="18" style="5" customWidth="1"/>
    <col min="9" max="9" width="17.5546875" style="5" customWidth="1"/>
    <col min="10" max="10" width="9.109375" style="5" customWidth="1"/>
    <col min="11" max="16384" width="9.109375" style="5"/>
  </cols>
  <sheetData>
    <row r="1" spans="7:10" x14ac:dyDescent="0.3">
      <c r="G1" s="5" t="s">
        <v>0</v>
      </c>
      <c r="H1" s="5" t="s">
        <v>197</v>
      </c>
      <c r="I1" s="5" t="s">
        <v>25</v>
      </c>
      <c r="J1" s="5" t="s">
        <v>3</v>
      </c>
    </row>
    <row r="2" spans="7:10" x14ac:dyDescent="0.3">
      <c r="G2" s="5" t="s">
        <v>1</v>
      </c>
      <c r="H2" s="5" t="s">
        <v>198</v>
      </c>
      <c r="I2" s="5" t="s">
        <v>26</v>
      </c>
      <c r="J2" s="5" t="s">
        <v>4</v>
      </c>
    </row>
    <row r="3" spans="7:10" x14ac:dyDescent="0.3">
      <c r="G3" s="5" t="s">
        <v>2</v>
      </c>
      <c r="H3" s="5" t="s">
        <v>199</v>
      </c>
      <c r="I3" s="5" t="s">
        <v>27</v>
      </c>
    </row>
    <row r="4" spans="7:10" x14ac:dyDescent="0.3">
      <c r="H4" s="5" t="s">
        <v>200</v>
      </c>
      <c r="I4" s="5" t="s">
        <v>23</v>
      </c>
    </row>
    <row r="5" spans="7:10" x14ac:dyDescent="0.3">
      <c r="H5" s="5" t="s">
        <v>201</v>
      </c>
      <c r="I5" s="5" t="s">
        <v>28</v>
      </c>
    </row>
    <row r="6" spans="7:10" x14ac:dyDescent="0.3">
      <c r="H6" s="5" t="s">
        <v>202</v>
      </c>
      <c r="I6" s="5" t="s">
        <v>29</v>
      </c>
    </row>
    <row r="7" spans="7:10" x14ac:dyDescent="0.3">
      <c r="H7" s="5" t="s">
        <v>203</v>
      </c>
      <c r="I7" s="5" t="s">
        <v>30</v>
      </c>
    </row>
    <row r="8" spans="7:10" x14ac:dyDescent="0.3">
      <c r="H8" s="5" t="s">
        <v>204</v>
      </c>
      <c r="I8" s="5" t="s">
        <v>31</v>
      </c>
    </row>
    <row r="9" spans="7:10" x14ac:dyDescent="0.3">
      <c r="H9" s="5" t="s">
        <v>205</v>
      </c>
      <c r="I9" s="5" t="s">
        <v>32</v>
      </c>
    </row>
    <row r="10" spans="7:10" x14ac:dyDescent="0.3">
      <c r="H10" s="5" t="s">
        <v>17</v>
      </c>
      <c r="I10" s="5" t="s">
        <v>33</v>
      </c>
    </row>
    <row r="11" spans="7:10" x14ac:dyDescent="0.3">
      <c r="H11" s="5" t="s">
        <v>206</v>
      </c>
      <c r="I11" s="5" t="s">
        <v>34</v>
      </c>
    </row>
    <row r="12" spans="7:10" x14ac:dyDescent="0.3">
      <c r="H12" s="5" t="s">
        <v>207</v>
      </c>
      <c r="I12" s="5" t="s">
        <v>35</v>
      </c>
    </row>
    <row r="13" spans="7:10" x14ac:dyDescent="0.3">
      <c r="H13" s="5" t="s">
        <v>208</v>
      </c>
      <c r="I13" s="5" t="s">
        <v>36</v>
      </c>
    </row>
    <row r="14" spans="7:10" x14ac:dyDescent="0.3">
      <c r="H14" s="5" t="s">
        <v>16</v>
      </c>
      <c r="I14" s="5" t="s">
        <v>37</v>
      </c>
    </row>
    <row r="15" spans="7:10" x14ac:dyDescent="0.3">
      <c r="H15" s="5" t="s">
        <v>209</v>
      </c>
      <c r="I15" s="5" t="s">
        <v>38</v>
      </c>
    </row>
    <row r="16" spans="7:10" x14ac:dyDescent="0.3">
      <c r="H16" s="5" t="s">
        <v>210</v>
      </c>
      <c r="I16" s="5" t="s">
        <v>39</v>
      </c>
    </row>
    <row r="17" spans="8:9" x14ac:dyDescent="0.3">
      <c r="H17" s="5" t="s">
        <v>211</v>
      </c>
      <c r="I17" s="5" t="s">
        <v>40</v>
      </c>
    </row>
    <row r="18" spans="8:9" x14ac:dyDescent="0.3">
      <c r="H18" s="5" t="s">
        <v>212</v>
      </c>
      <c r="I18" s="5" t="s">
        <v>41</v>
      </c>
    </row>
    <row r="19" spans="8:9" x14ac:dyDescent="0.3">
      <c r="H19" s="5" t="s">
        <v>213</v>
      </c>
      <c r="I19" s="5" t="s">
        <v>42</v>
      </c>
    </row>
    <row r="20" spans="8:9" x14ac:dyDescent="0.3">
      <c r="H20" s="5" t="s">
        <v>214</v>
      </c>
      <c r="I20" s="5" t="s">
        <v>43</v>
      </c>
    </row>
    <row r="21" spans="8:9" x14ac:dyDescent="0.3">
      <c r="H21" s="5" t="s">
        <v>215</v>
      </c>
      <c r="I21" s="5" t="s">
        <v>44</v>
      </c>
    </row>
    <row r="22" spans="8:9" x14ac:dyDescent="0.3">
      <c r="H22" s="5" t="s">
        <v>216</v>
      </c>
      <c r="I22" s="5" t="s">
        <v>45</v>
      </c>
    </row>
    <row r="23" spans="8:9" x14ac:dyDescent="0.3">
      <c r="H23" s="5" t="s">
        <v>217</v>
      </c>
      <c r="I23" s="5" t="s">
        <v>46</v>
      </c>
    </row>
    <row r="24" spans="8:9" x14ac:dyDescent="0.3">
      <c r="H24" s="5" t="s">
        <v>218</v>
      </c>
      <c r="I24" s="5" t="s">
        <v>47</v>
      </c>
    </row>
    <row r="25" spans="8:9" x14ac:dyDescent="0.3">
      <c r="H25" s="5" t="s">
        <v>219</v>
      </c>
      <c r="I25" s="5" t="s">
        <v>48</v>
      </c>
    </row>
    <row r="26" spans="8:9" x14ac:dyDescent="0.3">
      <c r="H26" s="5" t="s">
        <v>220</v>
      </c>
      <c r="I26" s="5" t="s">
        <v>49</v>
      </c>
    </row>
    <row r="27" spans="8:9" x14ac:dyDescent="0.3">
      <c r="H27" s="5" t="s">
        <v>116</v>
      </c>
      <c r="I27" s="5" t="s">
        <v>50</v>
      </c>
    </row>
    <row r="28" spans="8:9" x14ac:dyDescent="0.3">
      <c r="H28" s="5" t="s">
        <v>221</v>
      </c>
      <c r="I28" s="5" t="s">
        <v>51</v>
      </c>
    </row>
    <row r="29" spans="8:9" x14ac:dyDescent="0.3">
      <c r="H29" s="5" t="s">
        <v>222</v>
      </c>
      <c r="I29" s="5" t="s">
        <v>52</v>
      </c>
    </row>
    <row r="30" spans="8:9" x14ac:dyDescent="0.3">
      <c r="I30" s="5" t="s">
        <v>53</v>
      </c>
    </row>
    <row r="31" spans="8:9" x14ac:dyDescent="0.3">
      <c r="I31" s="5" t="s">
        <v>54</v>
      </c>
    </row>
    <row r="32" spans="8:9" x14ac:dyDescent="0.3">
      <c r="I32" s="5" t="s">
        <v>55</v>
      </c>
    </row>
    <row r="33" spans="9:9" x14ac:dyDescent="0.3">
      <c r="I33" s="5" t="s">
        <v>56</v>
      </c>
    </row>
    <row r="34" spans="9:9" x14ac:dyDescent="0.3">
      <c r="I34" s="5" t="s">
        <v>57</v>
      </c>
    </row>
    <row r="35" spans="9:9" x14ac:dyDescent="0.3">
      <c r="I35" s="5" t="s">
        <v>58</v>
      </c>
    </row>
    <row r="36" spans="9:9" x14ac:dyDescent="0.3">
      <c r="I36" s="5" t="s">
        <v>59</v>
      </c>
    </row>
    <row r="37" spans="9:9" x14ac:dyDescent="0.3">
      <c r="I37" s="5" t="s">
        <v>60</v>
      </c>
    </row>
    <row r="38" spans="9:9" x14ac:dyDescent="0.3">
      <c r="I38" s="5" t="s">
        <v>61</v>
      </c>
    </row>
    <row r="39" spans="9:9" x14ac:dyDescent="0.3">
      <c r="I39" s="5" t="s">
        <v>62</v>
      </c>
    </row>
    <row r="40" spans="9:9" x14ac:dyDescent="0.3">
      <c r="I40" s="5" t="s">
        <v>63</v>
      </c>
    </row>
    <row r="41" spans="9:9" x14ac:dyDescent="0.3">
      <c r="I41" s="5" t="s">
        <v>64</v>
      </c>
    </row>
    <row r="42" spans="9:9" x14ac:dyDescent="0.3">
      <c r="I42" s="5" t="s">
        <v>65</v>
      </c>
    </row>
    <row r="43" spans="9:9" x14ac:dyDescent="0.3">
      <c r="I43" s="5" t="s">
        <v>66</v>
      </c>
    </row>
    <row r="44" spans="9:9" x14ac:dyDescent="0.3">
      <c r="I44" s="5" t="s">
        <v>67</v>
      </c>
    </row>
    <row r="45" spans="9:9" x14ac:dyDescent="0.3">
      <c r="I45" s="5" t="s">
        <v>68</v>
      </c>
    </row>
    <row r="46" spans="9:9" x14ac:dyDescent="0.3">
      <c r="I46" s="5" t="s">
        <v>69</v>
      </c>
    </row>
    <row r="47" spans="9:9" x14ac:dyDescent="0.3">
      <c r="I47" s="5" t="s">
        <v>70</v>
      </c>
    </row>
    <row r="48" spans="9:9" x14ac:dyDescent="0.3">
      <c r="I48" s="5" t="s">
        <v>71</v>
      </c>
    </row>
    <row r="49" spans="9:9" x14ac:dyDescent="0.3">
      <c r="I49" s="5" t="s">
        <v>72</v>
      </c>
    </row>
    <row r="50" spans="9:9" x14ac:dyDescent="0.3">
      <c r="I50" s="5" t="s">
        <v>73</v>
      </c>
    </row>
    <row r="51" spans="9:9" x14ac:dyDescent="0.3">
      <c r="I51" s="5" t="s">
        <v>74</v>
      </c>
    </row>
    <row r="52" spans="9:9" x14ac:dyDescent="0.3">
      <c r="I52" s="5" t="s">
        <v>75</v>
      </c>
    </row>
    <row r="53" spans="9:9" x14ac:dyDescent="0.3">
      <c r="I53" s="5" t="s">
        <v>76</v>
      </c>
    </row>
    <row r="54" spans="9:9" x14ac:dyDescent="0.3">
      <c r="I54" s="5" t="s">
        <v>77</v>
      </c>
    </row>
    <row r="55" spans="9:9" x14ac:dyDescent="0.3">
      <c r="I55" s="5" t="s">
        <v>78</v>
      </c>
    </row>
    <row r="56" spans="9:9" x14ac:dyDescent="0.3">
      <c r="I56" s="5" t="s">
        <v>79</v>
      </c>
    </row>
    <row r="57" spans="9:9" x14ac:dyDescent="0.3">
      <c r="I57" s="5" t="s">
        <v>80</v>
      </c>
    </row>
    <row r="58" spans="9:9" x14ac:dyDescent="0.3">
      <c r="I58" s="5" t="s">
        <v>81</v>
      </c>
    </row>
    <row r="59" spans="9:9" x14ac:dyDescent="0.3">
      <c r="I59" s="5" t="s">
        <v>82</v>
      </c>
    </row>
    <row r="60" spans="9:9" x14ac:dyDescent="0.3">
      <c r="I60" s="5" t="s">
        <v>83</v>
      </c>
    </row>
    <row r="61" spans="9:9" x14ac:dyDescent="0.3">
      <c r="I61" s="5" t="s">
        <v>84</v>
      </c>
    </row>
    <row r="62" spans="9:9" x14ac:dyDescent="0.3">
      <c r="I62" s="5" t="s">
        <v>85</v>
      </c>
    </row>
    <row r="63" spans="9:9" x14ac:dyDescent="0.3">
      <c r="I63" s="5" t="s">
        <v>86</v>
      </c>
    </row>
    <row r="64" spans="9:9" x14ac:dyDescent="0.3">
      <c r="I64" s="5" t="s">
        <v>87</v>
      </c>
    </row>
    <row r="65" spans="9:9" x14ac:dyDescent="0.3">
      <c r="I65" s="5" t="s">
        <v>88</v>
      </c>
    </row>
    <row r="66" spans="9:9" x14ac:dyDescent="0.3">
      <c r="I66" s="5" t="s">
        <v>89</v>
      </c>
    </row>
    <row r="67" spans="9:9" x14ac:dyDescent="0.3">
      <c r="I67" s="5" t="s">
        <v>90</v>
      </c>
    </row>
    <row r="68" spans="9:9" x14ac:dyDescent="0.3">
      <c r="I68" s="5" t="s">
        <v>91</v>
      </c>
    </row>
    <row r="69" spans="9:9" x14ac:dyDescent="0.3">
      <c r="I69" s="5" t="s">
        <v>92</v>
      </c>
    </row>
    <row r="70" spans="9:9" x14ac:dyDescent="0.3">
      <c r="I70" s="5" t="s">
        <v>93</v>
      </c>
    </row>
    <row r="71" spans="9:9" x14ac:dyDescent="0.3">
      <c r="I71" s="5" t="s">
        <v>94</v>
      </c>
    </row>
    <row r="72" spans="9:9" x14ac:dyDescent="0.3">
      <c r="I72" s="5" t="s">
        <v>95</v>
      </c>
    </row>
    <row r="73" spans="9:9" x14ac:dyDescent="0.3">
      <c r="I73" s="5" t="s">
        <v>96</v>
      </c>
    </row>
    <row r="74" spans="9:9" x14ac:dyDescent="0.3">
      <c r="I74" s="5" t="s">
        <v>97</v>
      </c>
    </row>
    <row r="75" spans="9:9" x14ac:dyDescent="0.3">
      <c r="I75" s="5" t="s">
        <v>98</v>
      </c>
    </row>
    <row r="76" spans="9:9" x14ac:dyDescent="0.3">
      <c r="I76" s="5" t="s">
        <v>99</v>
      </c>
    </row>
    <row r="77" spans="9:9" x14ac:dyDescent="0.3">
      <c r="I77" s="5" t="s">
        <v>100</v>
      </c>
    </row>
    <row r="78" spans="9:9" x14ac:dyDescent="0.3">
      <c r="I78" s="5" t="s">
        <v>101</v>
      </c>
    </row>
    <row r="79" spans="9:9" x14ac:dyDescent="0.3">
      <c r="I79" s="5" t="s">
        <v>102</v>
      </c>
    </row>
    <row r="80" spans="9:9" x14ac:dyDescent="0.3">
      <c r="I80" s="5" t="s">
        <v>103</v>
      </c>
    </row>
    <row r="81" spans="9:9" x14ac:dyDescent="0.3">
      <c r="I81" s="5" t="s">
        <v>104</v>
      </c>
    </row>
    <row r="82" spans="9:9" x14ac:dyDescent="0.3">
      <c r="I82" s="5" t="s">
        <v>105</v>
      </c>
    </row>
    <row r="83" spans="9:9" x14ac:dyDescent="0.3">
      <c r="I83" s="5" t="s">
        <v>106</v>
      </c>
    </row>
    <row r="84" spans="9:9" x14ac:dyDescent="0.3">
      <c r="I84" s="5" t="s">
        <v>20</v>
      </c>
    </row>
    <row r="85" spans="9:9" x14ac:dyDescent="0.3">
      <c r="I85" s="5" t="s">
        <v>107</v>
      </c>
    </row>
    <row r="86" spans="9:9" x14ac:dyDescent="0.3">
      <c r="I86" s="5" t="s">
        <v>108</v>
      </c>
    </row>
    <row r="87" spans="9:9" x14ac:dyDescent="0.3">
      <c r="I87" s="5" t="s">
        <v>109</v>
      </c>
    </row>
    <row r="88" spans="9:9" x14ac:dyDescent="0.3">
      <c r="I88" s="5" t="s">
        <v>110</v>
      </c>
    </row>
    <row r="89" spans="9:9" x14ac:dyDescent="0.3">
      <c r="I89" s="5" t="s">
        <v>111</v>
      </c>
    </row>
    <row r="90" spans="9:9" x14ac:dyDescent="0.3">
      <c r="I90" s="5" t="s">
        <v>112</v>
      </c>
    </row>
    <row r="91" spans="9:9" x14ac:dyDescent="0.3">
      <c r="I91" s="5" t="s">
        <v>113</v>
      </c>
    </row>
    <row r="92" spans="9:9" x14ac:dyDescent="0.3">
      <c r="I92" s="5" t="s">
        <v>114</v>
      </c>
    </row>
    <row r="93" spans="9:9" x14ac:dyDescent="0.3">
      <c r="I93" s="5" t="s">
        <v>115</v>
      </c>
    </row>
    <row r="94" spans="9:9" x14ac:dyDescent="0.3">
      <c r="I94" s="5" t="s">
        <v>19</v>
      </c>
    </row>
    <row r="95" spans="9:9" x14ac:dyDescent="0.3">
      <c r="I95" s="5" t="s">
        <v>116</v>
      </c>
    </row>
    <row r="96" spans="9:9" x14ac:dyDescent="0.3">
      <c r="I96" s="5" t="s">
        <v>117</v>
      </c>
    </row>
    <row r="97" spans="9:9" x14ac:dyDescent="0.3">
      <c r="I97" s="5" t="s">
        <v>118</v>
      </c>
    </row>
    <row r="98" spans="9:9" x14ac:dyDescent="0.3">
      <c r="I98" s="5" t="s">
        <v>119</v>
      </c>
    </row>
    <row r="99" spans="9:9" x14ac:dyDescent="0.3">
      <c r="I99" s="5" t="s">
        <v>120</v>
      </c>
    </row>
    <row r="100" spans="9:9" x14ac:dyDescent="0.3">
      <c r="I100" s="5" t="s">
        <v>121</v>
      </c>
    </row>
    <row r="101" spans="9:9" x14ac:dyDescent="0.3">
      <c r="I101" s="5" t="s">
        <v>122</v>
      </c>
    </row>
    <row r="102" spans="9:9" x14ac:dyDescent="0.3">
      <c r="I102" s="5" t="s">
        <v>123</v>
      </c>
    </row>
    <row r="103" spans="9:9" x14ac:dyDescent="0.3">
      <c r="I103" s="5" t="s">
        <v>124</v>
      </c>
    </row>
    <row r="104" spans="9:9" x14ac:dyDescent="0.3">
      <c r="I104" s="5" t="s">
        <v>125</v>
      </c>
    </row>
    <row r="105" spans="9:9" x14ac:dyDescent="0.3">
      <c r="I105" s="5" t="s">
        <v>126</v>
      </c>
    </row>
    <row r="106" spans="9:9" x14ac:dyDescent="0.3">
      <c r="I106" s="5" t="s">
        <v>127</v>
      </c>
    </row>
    <row r="107" spans="9:9" x14ac:dyDescent="0.3">
      <c r="I107" s="5" t="s">
        <v>128</v>
      </c>
    </row>
    <row r="108" spans="9:9" x14ac:dyDescent="0.3">
      <c r="I108" s="5" t="s">
        <v>129</v>
      </c>
    </row>
    <row r="109" spans="9:9" x14ac:dyDescent="0.3">
      <c r="I109" s="5" t="s">
        <v>130</v>
      </c>
    </row>
    <row r="110" spans="9:9" x14ac:dyDescent="0.3">
      <c r="I110" s="5" t="s">
        <v>21</v>
      </c>
    </row>
    <row r="111" spans="9:9" x14ac:dyDescent="0.3">
      <c r="I111" s="5" t="s">
        <v>131</v>
      </c>
    </row>
    <row r="112" spans="9:9" x14ac:dyDescent="0.3">
      <c r="I112" s="5" t="s">
        <v>132</v>
      </c>
    </row>
    <row r="113" spans="9:9" x14ac:dyDescent="0.3">
      <c r="I113" s="5" t="s">
        <v>133</v>
      </c>
    </row>
    <row r="114" spans="9:9" x14ac:dyDescent="0.3">
      <c r="I114" s="5" t="s">
        <v>134</v>
      </c>
    </row>
    <row r="115" spans="9:9" x14ac:dyDescent="0.3">
      <c r="I115" s="5" t="s">
        <v>135</v>
      </c>
    </row>
    <row r="116" spans="9:9" x14ac:dyDescent="0.3">
      <c r="I116" s="5" t="s">
        <v>136</v>
      </c>
    </row>
    <row r="117" spans="9:9" x14ac:dyDescent="0.3">
      <c r="I117" s="5" t="s">
        <v>137</v>
      </c>
    </row>
    <row r="118" spans="9:9" x14ac:dyDescent="0.3">
      <c r="I118" s="5" t="s">
        <v>138</v>
      </c>
    </row>
    <row r="119" spans="9:9" x14ac:dyDescent="0.3">
      <c r="I119" s="5" t="s">
        <v>139</v>
      </c>
    </row>
    <row r="120" spans="9:9" x14ac:dyDescent="0.3">
      <c r="I120" s="5" t="s">
        <v>140</v>
      </c>
    </row>
    <row r="121" spans="9:9" x14ac:dyDescent="0.3">
      <c r="I121" s="5" t="s">
        <v>141</v>
      </c>
    </row>
    <row r="122" spans="9:9" x14ac:dyDescent="0.3">
      <c r="I122" s="5" t="s">
        <v>142</v>
      </c>
    </row>
    <row r="123" spans="9:9" x14ac:dyDescent="0.3">
      <c r="I123" s="5" t="s">
        <v>143</v>
      </c>
    </row>
    <row r="124" spans="9:9" x14ac:dyDescent="0.3">
      <c r="I124" s="5" t="s">
        <v>144</v>
      </c>
    </row>
    <row r="125" spans="9:9" x14ac:dyDescent="0.3">
      <c r="I125" s="5" t="s">
        <v>145</v>
      </c>
    </row>
    <row r="126" spans="9:9" x14ac:dyDescent="0.3">
      <c r="I126" s="5" t="s">
        <v>146</v>
      </c>
    </row>
    <row r="127" spans="9:9" x14ac:dyDescent="0.3">
      <c r="I127" s="5" t="s">
        <v>147</v>
      </c>
    </row>
    <row r="128" spans="9:9" x14ac:dyDescent="0.3">
      <c r="I128" s="5" t="s">
        <v>148</v>
      </c>
    </row>
    <row r="129" spans="9:9" x14ac:dyDescent="0.3">
      <c r="I129" s="5" t="s">
        <v>149</v>
      </c>
    </row>
    <row r="130" spans="9:9" x14ac:dyDescent="0.3">
      <c r="I130" s="5" t="s">
        <v>150</v>
      </c>
    </row>
    <row r="131" spans="9:9" x14ac:dyDescent="0.3">
      <c r="I131" s="5" t="s">
        <v>151</v>
      </c>
    </row>
    <row r="132" spans="9:9" x14ac:dyDescent="0.3">
      <c r="I132" s="5" t="s">
        <v>152</v>
      </c>
    </row>
    <row r="133" spans="9:9" x14ac:dyDescent="0.3">
      <c r="I133" s="5" t="s">
        <v>153</v>
      </c>
    </row>
    <row r="134" spans="9:9" x14ac:dyDescent="0.3">
      <c r="I134" s="5" t="s">
        <v>154</v>
      </c>
    </row>
    <row r="135" spans="9:9" x14ac:dyDescent="0.3">
      <c r="I135" s="5" t="s">
        <v>155</v>
      </c>
    </row>
    <row r="136" spans="9:9" x14ac:dyDescent="0.3">
      <c r="I136" s="5" t="s">
        <v>156</v>
      </c>
    </row>
    <row r="137" spans="9:9" x14ac:dyDescent="0.3">
      <c r="I137" s="5" t="s">
        <v>157</v>
      </c>
    </row>
    <row r="138" spans="9:9" x14ac:dyDescent="0.3">
      <c r="I138" s="5" t="s">
        <v>158</v>
      </c>
    </row>
    <row r="139" spans="9:9" x14ac:dyDescent="0.3">
      <c r="I139" s="5" t="s">
        <v>159</v>
      </c>
    </row>
    <row r="140" spans="9:9" x14ac:dyDescent="0.3">
      <c r="I140" s="5" t="s">
        <v>160</v>
      </c>
    </row>
    <row r="141" spans="9:9" x14ac:dyDescent="0.3">
      <c r="I141" s="5" t="s">
        <v>161</v>
      </c>
    </row>
    <row r="142" spans="9:9" x14ac:dyDescent="0.3">
      <c r="I142" s="5" t="s">
        <v>162</v>
      </c>
    </row>
    <row r="143" spans="9:9" x14ac:dyDescent="0.3">
      <c r="I143" s="5" t="s">
        <v>163</v>
      </c>
    </row>
    <row r="144" spans="9:9" x14ac:dyDescent="0.3">
      <c r="I144" s="5" t="s">
        <v>22</v>
      </c>
    </row>
    <row r="145" spans="9:9" x14ac:dyDescent="0.3">
      <c r="I145" s="5" t="s">
        <v>164</v>
      </c>
    </row>
    <row r="146" spans="9:9" x14ac:dyDescent="0.3">
      <c r="I146" s="5" t="s">
        <v>165</v>
      </c>
    </row>
    <row r="147" spans="9:9" x14ac:dyDescent="0.3">
      <c r="I147" s="5" t="s">
        <v>166</v>
      </c>
    </row>
    <row r="148" spans="9:9" x14ac:dyDescent="0.3">
      <c r="I148" s="5" t="s">
        <v>167</v>
      </c>
    </row>
    <row r="149" spans="9:9" x14ac:dyDescent="0.3">
      <c r="I149" s="5" t="s">
        <v>168</v>
      </c>
    </row>
    <row r="150" spans="9:9" x14ac:dyDescent="0.3">
      <c r="I150" s="5" t="s">
        <v>169</v>
      </c>
    </row>
    <row r="151" spans="9:9" x14ac:dyDescent="0.3">
      <c r="I151" s="5" t="s">
        <v>18</v>
      </c>
    </row>
    <row r="152" spans="9:9" x14ac:dyDescent="0.3">
      <c r="I152" s="5" t="s">
        <v>170</v>
      </c>
    </row>
    <row r="153" spans="9:9" x14ac:dyDescent="0.3">
      <c r="I153" s="5" t="s">
        <v>171</v>
      </c>
    </row>
    <row r="154" spans="9:9" x14ac:dyDescent="0.3">
      <c r="I154" s="5" t="s">
        <v>172</v>
      </c>
    </row>
    <row r="155" spans="9:9" x14ac:dyDescent="0.3">
      <c r="I155" s="5" t="s">
        <v>173</v>
      </c>
    </row>
    <row r="156" spans="9:9" x14ac:dyDescent="0.3">
      <c r="I156" s="5" t="s">
        <v>174</v>
      </c>
    </row>
    <row r="157" spans="9:9" x14ac:dyDescent="0.3">
      <c r="I157" s="5" t="s">
        <v>175</v>
      </c>
    </row>
    <row r="158" spans="9:9" x14ac:dyDescent="0.3">
      <c r="I158" s="5" t="s">
        <v>176</v>
      </c>
    </row>
    <row r="159" spans="9:9" x14ac:dyDescent="0.3">
      <c r="I159" s="5" t="s">
        <v>177</v>
      </c>
    </row>
    <row r="160" spans="9:9" x14ac:dyDescent="0.3">
      <c r="I160" s="5" t="s">
        <v>178</v>
      </c>
    </row>
    <row r="161" spans="9:9" x14ac:dyDescent="0.3">
      <c r="I161" s="5" t="s">
        <v>179</v>
      </c>
    </row>
    <row r="162" spans="9:9" x14ac:dyDescent="0.3">
      <c r="I162" s="5" t="s">
        <v>180</v>
      </c>
    </row>
    <row r="163" spans="9:9" x14ac:dyDescent="0.3">
      <c r="I163" s="5" t="s">
        <v>181</v>
      </c>
    </row>
    <row r="164" spans="9:9" x14ac:dyDescent="0.3">
      <c r="I164" s="5" t="s">
        <v>182</v>
      </c>
    </row>
    <row r="165" spans="9:9" x14ac:dyDescent="0.3">
      <c r="I165" s="5" t="s">
        <v>183</v>
      </c>
    </row>
    <row r="166" spans="9:9" x14ac:dyDescent="0.3">
      <c r="I166" s="5" t="s">
        <v>184</v>
      </c>
    </row>
    <row r="167" spans="9:9" x14ac:dyDescent="0.3">
      <c r="I167" s="5" t="s">
        <v>185</v>
      </c>
    </row>
    <row r="168" spans="9:9" x14ac:dyDescent="0.3">
      <c r="I168" s="5" t="s">
        <v>186</v>
      </c>
    </row>
    <row r="169" spans="9:9" x14ac:dyDescent="0.3">
      <c r="I169" s="5" t="s">
        <v>187</v>
      </c>
    </row>
    <row r="170" spans="9:9" x14ac:dyDescent="0.3">
      <c r="I170" s="5" t="s">
        <v>24</v>
      </c>
    </row>
    <row r="171" spans="9:9" x14ac:dyDescent="0.3">
      <c r="I171" s="5" t="s">
        <v>188</v>
      </c>
    </row>
    <row r="172" spans="9:9" x14ac:dyDescent="0.3">
      <c r="I172" s="5" t="s">
        <v>189</v>
      </c>
    </row>
    <row r="173" spans="9:9" x14ac:dyDescent="0.3">
      <c r="I173" s="5" t="s">
        <v>190</v>
      </c>
    </row>
    <row r="174" spans="9:9" x14ac:dyDescent="0.3">
      <c r="I174" s="5" t="s">
        <v>191</v>
      </c>
    </row>
    <row r="175" spans="9:9" x14ac:dyDescent="0.3">
      <c r="I175" s="5" t="s">
        <v>192</v>
      </c>
    </row>
    <row r="176" spans="9:9" x14ac:dyDescent="0.3">
      <c r="I176" s="5" t="s">
        <v>193</v>
      </c>
    </row>
    <row r="177" spans="9:9" x14ac:dyDescent="0.3">
      <c r="I177" s="5" t="s">
        <v>194</v>
      </c>
    </row>
    <row r="178" spans="9:9" x14ac:dyDescent="0.3">
      <c r="I178" s="5" t="s">
        <v>195</v>
      </c>
    </row>
    <row r="179" spans="9:9" x14ac:dyDescent="0.3">
      <c r="I179" s="5" t="s">
        <v>196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Instructions </vt:lpstr>
      <vt:lpstr>Definitions </vt:lpstr>
      <vt:lpstr>STEP 1-A. Electric Meters</vt:lpstr>
      <vt:lpstr>STEP 1-B. Natural Gas Meters</vt:lpstr>
      <vt:lpstr>STEP 2. Building Data</vt:lpstr>
      <vt:lpstr>Prefered Primary Use List</vt:lpstr>
      <vt:lpstr>Sheet1</vt:lpstr>
      <vt:lpstr>Country</vt:lpstr>
      <vt:lpstr>FloorAreaUnit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Rose Odametey</dc:creator>
  <cp:lastModifiedBy>jesudara omidokun</cp:lastModifiedBy>
  <dcterms:created xsi:type="dcterms:W3CDTF">2018-04-25T18:23:14Z</dcterms:created>
  <dcterms:modified xsi:type="dcterms:W3CDTF">2020-05-28T21:59:17Z</dcterms:modified>
</cp:coreProperties>
</file>