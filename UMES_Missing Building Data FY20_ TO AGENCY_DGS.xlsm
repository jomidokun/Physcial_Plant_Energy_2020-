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
    </mc:Choice>
  </mc:AlternateContent>
  <bookViews>
    <workbookView xWindow="0" yWindow="0" windowWidth="17925" windowHeight="11025" tabRatio="844" activeTab="4"/>
  </bookViews>
  <sheets>
    <sheet name="Instructions " sheetId="7" r:id="rId1"/>
    <sheet name="Definitions " sheetId="10" r:id="rId2"/>
    <sheet name="STEP 1-A. Electric Meters" sheetId="5" r:id="rId3"/>
    <sheet name="STEP 1-B. Natural Gas Meters" sheetId="6" r:id="rId4"/>
    <sheet name="STEP 2. Building Data" sheetId="1" r:id="rId5"/>
    <sheet name="Prefered Primary Use List" sheetId="8" r:id="rId6"/>
    <sheet name="Sheet1" sheetId="2" state="hidden" r:id="rId7"/>
  </sheets>
  <externalReferences>
    <externalReference r:id="rId8"/>
  </externalReferences>
  <definedNames>
    <definedName name="_xlnm._FilterDatabase" localSheetId="4" hidden="1">'STEP 2. Building Data'!$A$1:$AB$212</definedName>
    <definedName name="Country">Sheet1!$G$1:$G$3</definedName>
    <definedName name="FloorAreaUnit">Sheet1!$J$1:$J$2</definedName>
    <definedName name="OrganizationType">Sheet1!$H$1:INDEX(Sheet1!$H:$H,MATCH("zzzzz",Sheet1!$H:$H))</definedName>
    <definedName name="PrimaryUse">Sheet1!$I$1:INDEX(Sheet1!$I:$I,MATCH("zzzzz",Sheet1!$I:$I))</definedName>
    <definedName name="SelectList1035">[1]SelectListValues!$L$1:$L$4</definedName>
    <definedName name="YesNo">[1]UdfIDs!$A$1:$A$2</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5" l="1"/>
  <c r="F3" i="5"/>
  <c r="F5" i="5"/>
  <c r="F63" i="5"/>
  <c r="F65" i="5"/>
  <c r="F14" i="5"/>
  <c r="F15" i="5"/>
  <c r="F16" i="5"/>
  <c r="F17" i="5"/>
  <c r="F18" i="5"/>
  <c r="F19" i="5"/>
  <c r="F20" i="5"/>
  <c r="F21" i="5"/>
  <c r="F22" i="5"/>
  <c r="F23" i="5"/>
  <c r="F24" i="5"/>
  <c r="F25" i="5"/>
  <c r="F26" i="5"/>
  <c r="F27" i="5"/>
  <c r="F28" i="5"/>
  <c r="F29" i="5"/>
  <c r="F30" i="5"/>
  <c r="F31" i="5"/>
  <c r="F32" i="5"/>
  <c r="F33" i="5"/>
  <c r="F34" i="5"/>
  <c r="F35" i="5"/>
  <c r="F37" i="5"/>
  <c r="F38" i="5"/>
  <c r="F39" i="5"/>
  <c r="F40" i="5"/>
  <c r="F41" i="5"/>
  <c r="F42" i="5"/>
  <c r="F43" i="5"/>
  <c r="F44" i="5"/>
  <c r="F46" i="5"/>
  <c r="F36" i="5"/>
  <c r="F47" i="5"/>
  <c r="F48" i="5"/>
  <c r="F49" i="5"/>
  <c r="F50" i="5"/>
  <c r="F51" i="5"/>
  <c r="F52" i="5"/>
  <c r="F53" i="5"/>
  <c r="F54" i="5"/>
  <c r="F55" i="5"/>
  <c r="F56" i="5"/>
  <c r="F57" i="5"/>
  <c r="F58" i="5"/>
  <c r="F59" i="5"/>
  <c r="F60" i="5"/>
  <c r="F61" i="5"/>
  <c r="F62" i="5"/>
  <c r="F7" i="5"/>
  <c r="F64" i="5"/>
  <c r="F45" i="5"/>
  <c r="F69" i="5"/>
  <c r="F4" i="5"/>
  <c r="F66" i="5"/>
  <c r="F67" i="5"/>
  <c r="F68" i="5"/>
  <c r="F8" i="5" l="1"/>
  <c r="F9" i="5"/>
  <c r="F10" i="5"/>
  <c r="F11" i="5"/>
  <c r="F12" i="5"/>
  <c r="F13" i="5"/>
  <c r="F3" i="6"/>
  <c r="F4" i="6"/>
  <c r="F5" i="6"/>
  <c r="F6" i="6"/>
  <c r="F7" i="6"/>
</calcChain>
</file>

<file path=xl/sharedStrings.xml><?xml version="1.0" encoding="utf-8"?>
<sst xmlns="http://schemas.openxmlformats.org/spreadsheetml/2006/main" count="2267" uniqueCount="1038">
  <si>
    <t>United States</t>
  </si>
  <si>
    <t>Canada</t>
  </si>
  <si>
    <t>Other</t>
  </si>
  <si>
    <t>SQFEET</t>
  </si>
  <si>
    <t>SQMETER</t>
  </si>
  <si>
    <t>Building Name</t>
  </si>
  <si>
    <t>32 Characters</t>
  </si>
  <si>
    <t>50 Characters</t>
  </si>
  <si>
    <t>Error Messages</t>
  </si>
  <si>
    <t>PlaceID</t>
  </si>
  <si>
    <t>Organization Code</t>
  </si>
  <si>
    <t>Organization Name</t>
  </si>
  <si>
    <t>Building Code</t>
  </si>
  <si>
    <t>Build Date</t>
  </si>
  <si>
    <t>10 Characters</t>
  </si>
  <si>
    <t>8 Numbers</t>
  </si>
  <si>
    <t>ORGANIZATION</t>
  </si>
  <si>
    <t>DEPARTMENT</t>
  </si>
  <si>
    <t>STORAGE</t>
  </si>
  <si>
    <t xml:space="preserve">OFF </t>
  </si>
  <si>
    <t>MAINTENANCESH</t>
  </si>
  <si>
    <t xml:space="preserve">PARKING-GARAGES </t>
  </si>
  <si>
    <t>SHOP</t>
  </si>
  <si>
    <t>AIRCRAFTHANGA</t>
  </si>
  <si>
    <t>WAREHOUSE-UNREFR</t>
  </si>
  <si>
    <t xml:space="preserve">ADMIN </t>
  </si>
  <si>
    <t>ADULTEDUCATION</t>
  </si>
  <si>
    <t>AIR_MONITORING</t>
  </si>
  <si>
    <t>AMBULATORYSURGIC</t>
  </si>
  <si>
    <t>ANIMALHOUSING</t>
  </si>
  <si>
    <t>ANTENNA</t>
  </si>
  <si>
    <t>AQUARIUM</t>
  </si>
  <si>
    <t>AUTOMOBILEDEALER</t>
  </si>
  <si>
    <t>BANK</t>
  </si>
  <si>
    <t>BARNIGHTCLUB</t>
  </si>
  <si>
    <t>BARN</t>
  </si>
  <si>
    <t>BARRACKS</t>
  </si>
  <si>
    <t>BATHHOUSE</t>
  </si>
  <si>
    <t>BOWLINGALLEY</t>
  </si>
  <si>
    <t xml:space="preserve">01447 </t>
  </si>
  <si>
    <t xml:space="preserve">CABIN </t>
  </si>
  <si>
    <t xml:space="preserve">CAMPERCABIN </t>
  </si>
  <si>
    <t>CASINO</t>
  </si>
  <si>
    <t>CEMETERY</t>
  </si>
  <si>
    <t xml:space="preserve">CHAPEL </t>
  </si>
  <si>
    <t>COLLEGEUNIV</t>
  </si>
  <si>
    <t>COMFORTSTATIO</t>
  </si>
  <si>
    <t>CONCESSION</t>
  </si>
  <si>
    <t xml:space="preserve">CONTACTSTATION </t>
  </si>
  <si>
    <t>CONVSTOREGAS</t>
  </si>
  <si>
    <t>CONVSTORENOGAS</t>
  </si>
  <si>
    <t>CONVENTIONCENTER</t>
  </si>
  <si>
    <t xml:space="preserve">CORR </t>
  </si>
  <si>
    <t xml:space="preserve">CORRCLOSED </t>
  </si>
  <si>
    <t xml:space="preserve">CORRWOMEN </t>
  </si>
  <si>
    <t>CORRECTIONALC</t>
  </si>
  <si>
    <t>CORRECTIONALH</t>
  </si>
  <si>
    <t xml:space="preserve">CORRSUP </t>
  </si>
  <si>
    <t>COURTHOUSE</t>
  </si>
  <si>
    <t>DATACENTER</t>
  </si>
  <si>
    <t>DETAINEEHOUSI</t>
  </si>
  <si>
    <t xml:space="preserve">DINING-FACILITY </t>
  </si>
  <si>
    <t>DISPLAYSANDOF</t>
  </si>
  <si>
    <t>DISTRIBUTIONCENT</t>
  </si>
  <si>
    <t>DORMITORY</t>
  </si>
  <si>
    <t>RESIDENTIAL</t>
  </si>
  <si>
    <t>DRINKINGWATERTRE</t>
  </si>
  <si>
    <t xml:space="preserve">EMPLOYEES </t>
  </si>
  <si>
    <t>ENCLOSEDMALL</t>
  </si>
  <si>
    <t>ENERGYPOWERSTATI</t>
  </si>
  <si>
    <t xml:space="preserve">EVENTS </t>
  </si>
  <si>
    <t>FACILITYENERG</t>
  </si>
  <si>
    <t>FACILITYENTRA</t>
  </si>
  <si>
    <t>FASTFOODRESTAURA</t>
  </si>
  <si>
    <t>FINANCIALOFFICE</t>
  </si>
  <si>
    <t>FIRESTATION</t>
  </si>
  <si>
    <t>FIRE_POLICE</t>
  </si>
  <si>
    <t>FITNESSCENTERGYM</t>
  </si>
  <si>
    <t>FOODSALES</t>
  </si>
  <si>
    <t>FOODSERVICE</t>
  </si>
  <si>
    <t>GENERAL</t>
  </si>
  <si>
    <t>GYM_STADIUM</t>
  </si>
  <si>
    <t xml:space="preserve">HANGER </t>
  </si>
  <si>
    <t>HIGHERED</t>
  </si>
  <si>
    <t>HISTORICALSTRUCT</t>
  </si>
  <si>
    <t>HOSPITAL</t>
  </si>
  <si>
    <t>HOTEL</t>
  </si>
  <si>
    <t>HOUSEWORSHIP</t>
  </si>
  <si>
    <t xml:space="preserve">HOUSING </t>
  </si>
  <si>
    <t>ICECURLINGRINK</t>
  </si>
  <si>
    <t>INDOORARENA</t>
  </si>
  <si>
    <t xml:space="preserve">INFORMATION </t>
  </si>
  <si>
    <t>INFORMATIONTE</t>
  </si>
  <si>
    <t>INTERPRETIVRCENT</t>
  </si>
  <si>
    <t xml:space="preserve">IRRIGATION </t>
  </si>
  <si>
    <t>ITSERVER</t>
  </si>
  <si>
    <t>JUVENILEDETENTIO</t>
  </si>
  <si>
    <t>SCHOOL</t>
  </si>
  <si>
    <t xml:space="preserve">KITCHEN </t>
  </si>
  <si>
    <t>LABORATORY</t>
  </si>
  <si>
    <t>SITECLOSED</t>
  </si>
  <si>
    <t>LIBRARY</t>
  </si>
  <si>
    <t xml:space="preserve">LIBRARY </t>
  </si>
  <si>
    <t>LIFESTYLECENTER</t>
  </si>
  <si>
    <t>LOTEMPTY</t>
  </si>
  <si>
    <t>MAILINGCENTERPOS</t>
  </si>
  <si>
    <t xml:space="preserve">MAINTENANCE </t>
  </si>
  <si>
    <t>MANUFACTURING</t>
  </si>
  <si>
    <t>MANUFACTURINGIND</t>
  </si>
  <si>
    <t>MARINA</t>
  </si>
  <si>
    <t>MEDICAL</t>
  </si>
  <si>
    <t>MIXEDUSEPROPERTY</t>
  </si>
  <si>
    <t>MOVIETHEATER</t>
  </si>
  <si>
    <t>MULTIHOUSING</t>
  </si>
  <si>
    <t>MUSEUM</t>
  </si>
  <si>
    <t>NURSING_HOME</t>
  </si>
  <si>
    <t>OTHER</t>
  </si>
  <si>
    <t>OTHEREDUCATION</t>
  </si>
  <si>
    <t>OTHERENTERTAINM</t>
  </si>
  <si>
    <t>OTHERLODGINGRES</t>
  </si>
  <si>
    <t>OTHERMALL</t>
  </si>
  <si>
    <t>OTHERPUBLICSERV</t>
  </si>
  <si>
    <t>OTHERRECREATION</t>
  </si>
  <si>
    <t>OTHERRESTAURANT</t>
  </si>
  <si>
    <t>OTHERSERVICES</t>
  </si>
  <si>
    <t>OTHERSTADIUM</t>
  </si>
  <si>
    <t>OTHERTECHNOLOGY</t>
  </si>
  <si>
    <t>OTHERUTILITY</t>
  </si>
  <si>
    <t>OTHERSPECHOSP</t>
  </si>
  <si>
    <t>OUTDOORREC</t>
  </si>
  <si>
    <t>OUTPATIENTREHABI</t>
  </si>
  <si>
    <t>PARKING</t>
  </si>
  <si>
    <t>PAROLEPROBATI</t>
  </si>
  <si>
    <t>PAROLEANDPROB</t>
  </si>
  <si>
    <t>FIELDDDMP</t>
  </si>
  <si>
    <t>PERFORMINGARTS</t>
  </si>
  <si>
    <t>PERSONALSERVICES</t>
  </si>
  <si>
    <t>POLICESTATION</t>
  </si>
  <si>
    <t>PRE-RELEASEIN</t>
  </si>
  <si>
    <t>PRESCHOOLDAYCARE</t>
  </si>
  <si>
    <t xml:space="preserve">PREDET </t>
  </si>
  <si>
    <t>PRETRIALSERVI</t>
  </si>
  <si>
    <t>PRISONINCARCERAT</t>
  </si>
  <si>
    <t>ASSEMBLY</t>
  </si>
  <si>
    <t xml:space="preserve">PUBSAF </t>
  </si>
  <si>
    <t xml:space="preserve">PUMPHOUSE </t>
  </si>
  <si>
    <t>RACETRACK</t>
  </si>
  <si>
    <t>RECORDSSTORAG</t>
  </si>
  <si>
    <t>RELIGIOUSSERVICE</t>
  </si>
  <si>
    <t xml:space="preserve">RENTALCABIN </t>
  </si>
  <si>
    <t xml:space="preserve">RENTALCABIN_2 </t>
  </si>
  <si>
    <t>REPAIRVEHSHOELOC</t>
  </si>
  <si>
    <t>RESIDENCE</t>
  </si>
  <si>
    <t>RESIDENTTREATMEN</t>
  </si>
  <si>
    <t>RESTAURANT</t>
  </si>
  <si>
    <t xml:space="preserve">RESTROOM </t>
  </si>
  <si>
    <t>RETAIL</t>
  </si>
  <si>
    <t>ROADS</t>
  </si>
  <si>
    <t>ROLLERRINK</t>
  </si>
  <si>
    <t xml:space="preserve">SCALEHOUSE </t>
  </si>
  <si>
    <t>SECURITY</t>
  </si>
  <si>
    <t>SELFSTORAGEFACI</t>
  </si>
  <si>
    <t>SENIORCARE</t>
  </si>
  <si>
    <t>SHELTER</t>
  </si>
  <si>
    <t xml:space="preserve">SHAOWERBUILDING </t>
  </si>
  <si>
    <t>SINGLEFAMILYHOME</t>
  </si>
  <si>
    <t>SOCIALMEETINGHAL</t>
  </si>
  <si>
    <t>STADIUM(CLOSED)</t>
  </si>
  <si>
    <t>STADIUM(OPEN)</t>
  </si>
  <si>
    <t>STAFFTRAINING</t>
  </si>
  <si>
    <t>STRIPMALL</t>
  </si>
  <si>
    <t>STRIP_SHOPPING</t>
  </si>
  <si>
    <t>STUDENT-ACTIVITY</t>
  </si>
  <si>
    <t>GROCERY</t>
  </si>
  <si>
    <t>SWIMMINGPOOL</t>
  </si>
  <si>
    <t xml:space="preserve">TRAFFICSIGNAL </t>
  </si>
  <si>
    <t xml:space="preserve">TRAIN </t>
  </si>
  <si>
    <t xml:space="preserve">TRANSPORTATION </t>
  </si>
  <si>
    <t>TRANSPORTATIONTE</t>
  </si>
  <si>
    <t>TREATMENTHOUSING</t>
  </si>
  <si>
    <t xml:space="preserve">UNKNOWN </t>
  </si>
  <si>
    <t>URGENTCARECLINIC</t>
  </si>
  <si>
    <t>VACANT</t>
  </si>
  <si>
    <t>VACANTLOT-OVE</t>
  </si>
  <si>
    <t xml:space="preserve">VEHICLES </t>
  </si>
  <si>
    <t>VETERINARYOFFICE</t>
  </si>
  <si>
    <t>VOCATIONALSCHOOL</t>
  </si>
  <si>
    <t>WAREHOUSE_REFRIG</t>
  </si>
  <si>
    <t>WAREHOUSER</t>
  </si>
  <si>
    <t>WAREHOUSEUR</t>
  </si>
  <si>
    <t>WASTEWATER</t>
  </si>
  <si>
    <t>WASTEWATERTREATM</t>
  </si>
  <si>
    <t>WATER</t>
  </si>
  <si>
    <t>WHOLESALECLUBSUP</t>
  </si>
  <si>
    <t xml:space="preserve">WORK-SHOP </t>
  </si>
  <si>
    <t xml:space="preserve">YOUTH_COTTAGE </t>
  </si>
  <si>
    <t>ZOO</t>
  </si>
  <si>
    <t>111600</t>
  </si>
  <si>
    <t>AGENCY</t>
  </si>
  <si>
    <t>AREA</t>
  </si>
  <si>
    <t>BRANCH</t>
  </si>
  <si>
    <t>CAMPUS</t>
  </si>
  <si>
    <t>CATEGORY</t>
  </si>
  <si>
    <t>CLIENT</t>
  </si>
  <si>
    <t>COMMISSION</t>
  </si>
  <si>
    <t>COMPANY</t>
  </si>
  <si>
    <t>DIVISION</t>
  </si>
  <si>
    <t>FLOOR</t>
  </si>
  <si>
    <t>LOCATION</t>
  </si>
  <si>
    <t>PARISH</t>
  </si>
  <si>
    <t>PRECINCT</t>
  </si>
  <si>
    <t>PROJECT</t>
  </si>
  <si>
    <t>PROPERTY</t>
  </si>
  <si>
    <t>REGION</t>
  </si>
  <si>
    <t>SECTOR</t>
  </si>
  <si>
    <t>SITE</t>
  </si>
  <si>
    <t>SUBDIVISION</t>
  </si>
  <si>
    <t>TERRITORY</t>
  </si>
  <si>
    <t>TOPNODE</t>
  </si>
  <si>
    <t>TRAFFICSIGNAL</t>
  </si>
  <si>
    <t>UNIT</t>
  </si>
  <si>
    <t>WARD</t>
  </si>
  <si>
    <t>ZONE</t>
  </si>
  <si>
    <t>Police Station</t>
  </si>
  <si>
    <t>Fire Station</t>
  </si>
  <si>
    <t>Floor Area</t>
  </si>
  <si>
    <t>Storage</t>
  </si>
  <si>
    <t>Shop</t>
  </si>
  <si>
    <t>Dormitory/Residence Hall</t>
  </si>
  <si>
    <t>Hangar</t>
  </si>
  <si>
    <t>Electric</t>
  </si>
  <si>
    <t>Meter Name</t>
  </si>
  <si>
    <t>Account Name</t>
  </si>
  <si>
    <t>Cost Center Name</t>
  </si>
  <si>
    <t>Vendor Name</t>
  </si>
  <si>
    <t>Natural Gas</t>
  </si>
  <si>
    <t>Adult Education</t>
  </si>
  <si>
    <t>Air Monitoring Station</t>
  </si>
  <si>
    <t>Ambulatory Surgical Center</t>
  </si>
  <si>
    <t>Animal Housing</t>
  </si>
  <si>
    <t>Antenna/Communications</t>
  </si>
  <si>
    <t>Aquarium</t>
  </si>
  <si>
    <t>Automobile Dealership</t>
  </si>
  <si>
    <t>Bank/Financial Center</t>
  </si>
  <si>
    <t>Bar/Nightclub</t>
  </si>
  <si>
    <t>Barn</t>
  </si>
  <si>
    <t>Barracks</t>
  </si>
  <si>
    <t>Bowling Alley</t>
  </si>
  <si>
    <t>Cabin</t>
  </si>
  <si>
    <t>Casino</t>
  </si>
  <si>
    <t>Cemetery</t>
  </si>
  <si>
    <t>College/University</t>
  </si>
  <si>
    <t>Concession</t>
  </si>
  <si>
    <t>Convenience Store with Gas Station</t>
  </si>
  <si>
    <t>Convenience Store without Gas Station</t>
  </si>
  <si>
    <t>Convention Center</t>
  </si>
  <si>
    <t>Courthouse</t>
  </si>
  <si>
    <t>Data Center</t>
  </si>
  <si>
    <t>Dining Facility</t>
  </si>
  <si>
    <t>Distribution Center</t>
  </si>
  <si>
    <t>Drinking Water Treatment &amp; Distribution</t>
  </si>
  <si>
    <t>Enclosed Mall</t>
  </si>
  <si>
    <t>Energy/Power Station</t>
  </si>
  <si>
    <t>Fast Food Restaurant</t>
  </si>
  <si>
    <t>Financial Office</t>
  </si>
  <si>
    <t>Fire/Police Station</t>
  </si>
  <si>
    <t>Fitness Center/Health Club/Gym</t>
  </si>
  <si>
    <t>Food Sales</t>
  </si>
  <si>
    <t>Food Service</t>
  </si>
  <si>
    <t>Office</t>
  </si>
  <si>
    <t>Gym/Stadium</t>
  </si>
  <si>
    <t>Hospital</t>
  </si>
  <si>
    <t>Hotel/Motel</t>
  </si>
  <si>
    <t>House of Worship</t>
  </si>
  <si>
    <t>Ice/Curling Rink</t>
  </si>
  <si>
    <t>Indoor Arena</t>
  </si>
  <si>
    <t>Irrigation</t>
  </si>
  <si>
    <t>Juvenile Detention</t>
  </si>
  <si>
    <t>K-12 School</t>
  </si>
  <si>
    <t>Laboratory</t>
  </si>
  <si>
    <t>Library</t>
  </si>
  <si>
    <t>Lifestyle Center</t>
  </si>
  <si>
    <t>Mailing Center/Post Office</t>
  </si>
  <si>
    <t>Manufacturing/Industrial Plant</t>
  </si>
  <si>
    <t>Marina</t>
  </si>
  <si>
    <t>Medical Office</t>
  </si>
  <si>
    <t>Mixed Use Property</t>
  </si>
  <si>
    <t>Movie Theater</t>
  </si>
  <si>
    <t>Multifamily Housing</t>
  </si>
  <si>
    <t>Museum</t>
  </si>
  <si>
    <t>Nursing Home</t>
  </si>
  <si>
    <t>Other - Education</t>
  </si>
  <si>
    <t>Other - Entertainment/Public Assembly</t>
  </si>
  <si>
    <t>Other - Lodging/Residential</t>
  </si>
  <si>
    <t>Other - Mall</t>
  </si>
  <si>
    <t>Other - Public Services</t>
  </si>
  <si>
    <t>Other - Recreation</t>
  </si>
  <si>
    <t>Other - Restaurant/Bar</t>
  </si>
  <si>
    <t>Other - Services</t>
  </si>
  <si>
    <t>Other - Stadium</t>
  </si>
  <si>
    <t>Other - Technology/Science</t>
  </si>
  <si>
    <t>Other - Utility</t>
  </si>
  <si>
    <t>Other/Specialty Hospital</t>
  </si>
  <si>
    <t>Outdoor Recreation</t>
  </si>
  <si>
    <t>Outpatient Rehabilitation/Physical Therapy</t>
  </si>
  <si>
    <t>Parking</t>
  </si>
  <si>
    <t>Performing Arts</t>
  </si>
  <si>
    <t>Personal Services (Health/Beauty, Dry Cleaning, etc)</t>
  </si>
  <si>
    <t>Pre-school/Daycare</t>
  </si>
  <si>
    <t>Prison/Incarceration</t>
  </si>
  <si>
    <t>Public Assembly</t>
  </si>
  <si>
    <t>Pump House</t>
  </si>
  <si>
    <t>Race Track</t>
  </si>
  <si>
    <t>Records Storage</t>
  </si>
  <si>
    <t>Repair Services (Vehicle, Shoe, Locksmith, etc)</t>
  </si>
  <si>
    <t>Residence</t>
  </si>
  <si>
    <t>Residential Care Facility</t>
  </si>
  <si>
    <t>Restaurant</t>
  </si>
  <si>
    <t>Restroom</t>
  </si>
  <si>
    <t>Retail Store</t>
  </si>
  <si>
    <t>Road/Bridge</t>
  </si>
  <si>
    <t>Roller Rink</t>
  </si>
  <si>
    <t>Scale House</t>
  </si>
  <si>
    <t>Self-Storage Facility</t>
  </si>
  <si>
    <t>Senior Care Facility</t>
  </si>
  <si>
    <t>Shelter</t>
  </si>
  <si>
    <t>Shower Building</t>
  </si>
  <si>
    <t>Single Family Home</t>
  </si>
  <si>
    <t>Social/Meeting Hall</t>
  </si>
  <si>
    <t>Stadium (Closed)</t>
  </si>
  <si>
    <t>Stadium (Open)</t>
  </si>
  <si>
    <t>Strip Mall</t>
  </si>
  <si>
    <t>Supermarket/Grocery Store</t>
  </si>
  <si>
    <t>Swimming Pool</t>
  </si>
  <si>
    <t>Transportation Terminal/Station</t>
  </si>
  <si>
    <t>Urgent Care/Clinic/Other Outpatient</t>
  </si>
  <si>
    <t>Veterinary Office</t>
  </si>
  <si>
    <t>Visitor Center</t>
  </si>
  <si>
    <t>Vocational School</t>
  </si>
  <si>
    <t>Warehouse-Refrigerated</t>
  </si>
  <si>
    <t>Warehouse-Unfrigerated</t>
  </si>
  <si>
    <t>Wastewater Treatment Plant</t>
  </si>
  <si>
    <t>Water Supply Facility</t>
  </si>
  <si>
    <t>Wholesale Club/Supercenter</t>
  </si>
  <si>
    <t xml:space="preserve">Adult Education refers to buildings used primarily for providing adult students with continuing education, workforce development, or professional development outside of the college or university setting. </t>
  </si>
  <si>
    <t>A station designated to monitoring pollutant levels in outdoor air.</t>
  </si>
  <si>
    <t xml:space="preserve">Ambulatory Surgery Centers refers to health care facilities that provide same-day surgical care, including diagnostic and preventive procedures. </t>
  </si>
  <si>
    <t>Housing for animals. Use for any building type that does not fit definition for "Zoo."</t>
  </si>
  <si>
    <t>Stand-alone Antenna or communications tower.</t>
  </si>
  <si>
    <t xml:space="preserve">Aquarium refers to buildings used to provide aquatic habitat primarily to live animals and which may include public or private viewing areas and educational programs. </t>
  </si>
  <si>
    <t>Automobile Dealership refers to buildings used for the sale of new or used cars and light trucks.</t>
  </si>
  <si>
    <t>Bank/Financial Center refers to a commercial banking outlet that offers banking services to walk-in customers.</t>
  </si>
  <si>
    <t>Bar/Nightclub refers to buildings used primarily for social/entertainment purposes, and is characterized by most of the revenue being generated from the sale of beverages instead of food. Properties whose primary business revenues are generated from the sale of food should be entered using one of the Restaurant property uses, even if there is a bar.</t>
  </si>
  <si>
    <t>A large farm building used for storing grain, hay, or straw or for housing livestock.</t>
  </si>
  <si>
    <t>Barracks refers to residential buildings associated with military facilities or educational institutions which offer multiple accommodations for long-term residents.</t>
  </si>
  <si>
    <t>Bowling alley refers to buildings used for public or private, recreational or professional bowling.</t>
  </si>
  <si>
    <t>A small shelter or house used for temporary dwelling. Usually situated in a park or remote location.</t>
  </si>
  <si>
    <t xml:space="preserve">Casino refers to buildings primarily used to conduct gambling activities including both electronic and live table games. </t>
  </si>
  <si>
    <t>An area set apart for containing graves, tombs. A burial ground or graveyard.</t>
  </si>
  <si>
    <t>College/University refers to buildings used for the purpose of higher education. This includes public and private colleges and universities.</t>
  </si>
  <si>
    <t>A stand where visitors to a place can buy food and drinks.</t>
  </si>
  <si>
    <t>Convenience Store with Gas Station refers to buildings that are co-located with gas stations and are used for the sale of a limited range of items such as groceries, toiletries, newspapers, soft drinks, tobacco products, and other everyday items. Convenience Store with Gas Station may include space for vehicle servicing and repair.</t>
  </si>
  <si>
    <t>Convenience Store without Gas Station refers to buildings used for the sale of a limited range of items such as groceries, toiletries, newspapers, soft drinks, tobacco products, and other everyday items, which are not co-located with a gas station.</t>
  </si>
  <si>
    <t>Convention center refers to buildings used primarily for large conferences, exhibitions, and similar events. Convention centers may include a diverse variety of spaces, including large exhibition halls, meeting rooms, and concession stands. Conference facilities located within a Hotel should be entered as Hotel/Motel. Conference facilities primarily serving smaller meetings should be entered as Social/Meeting Hall.</t>
  </si>
  <si>
    <t>Courthouse refers to buildings used for federal, state, or local courts, and associated administrative office space. Use for Multi-Service Centers that include courthouses with office space.</t>
  </si>
  <si>
    <t>Data Center refers to buildings specifically designed and equipped to meet the needs of high density computing equipment, such as server racks, used for data storage and processing. Typically these facilities require dedicated uninterruptible power supplies and cooling systems. Data center functions may include traditional enterprise services, on-demand enterprise services, high performance computing, internet facilities, and/or hosting facilities. Often Data Centers are free standing, mission critical computing centers. When a data center is located within a larger building, it will usually have its own power and cooling systems, and require a constant power load of 75 kW or more. Data Center is intended for sophisticated computing and server functions; it should not be used to represent a server closet or computer training area.</t>
  </si>
  <si>
    <t xml:space="preserve">A facility dedicated to food preparation and service, usually for  residents. This may include bakeries, lunch counters, restaurants, or other commercial food service activities. </t>
  </si>
  <si>
    <t xml:space="preserve">Distribution Center refers to unrefrigerated buildings that are used for the temporary storage and redistribution of goods, manufactured products, merchandise or raw materials. </t>
  </si>
  <si>
    <t>Dormitory/Residence Hall refers to buildings associated with educational institutions or military facilities which offer multiple accommodations for long-term residents.</t>
  </si>
  <si>
    <t>Drinking Water Treatment and Distribution refers to facilities designed to pump and distribute drinking water through a network of pipes. Depending on the water source (ground water, surface water, purchased water), a water utility may or may not contain a treatment process. This property use applies to any/all water sources and any/all levels of treatment.</t>
  </si>
  <si>
    <t>Enclosed Mall refers to buildings that house multiple stores, often “anchored” by one or more department stores, and with interior walkways. Most stores will not have entrances accessible from outside, with the exception of the “anchor” stores.</t>
  </si>
  <si>
    <t>Energy/Power Station applies to buildings containing machinery and/or associated equipment for generating electricity or district heat (steam, hot water, or chilled water) from a raw fuel, including fossil fuel power plants, traditional district heat power plants, combined heat and power plants, nuclear reactors, hydroelectric dams, or facilities associated with a solar or wind farm.</t>
  </si>
  <si>
    <t>Fast Food Restaurant, also known as Quick Service Restaurant, refers to buildings used for the preparation and sale of ready-to-eat food. Fast Food Restaurants are characterized by a limited menu of food prepared quickly (often within a few minutes), and sometimes cooked in bulk in advance and kept hot.</t>
  </si>
  <si>
    <t>Financial Office refers to buildings used for financial services such as bank headquarters and securities and brokerage firms.</t>
  </si>
  <si>
    <t>Fire Station refers to buildings used to provide emergency response services associated with fires. Fire stations may be staffed by either volunteer or full-time paid firemen.</t>
  </si>
  <si>
    <t>Fire/Police  Station refers to buildings used as both fire and police stations. If a facility is only used for fire or police, then use the appropriate term "Fire Station" or "Police Station."</t>
  </si>
  <si>
    <t xml:space="preserve">Fitness Center/Health Club/Gym refers to buildings used for recreational or professional athletic training and related activities. </t>
  </si>
  <si>
    <t>Food Sales refers to buildings used for the sales of food on either a retail or wholesale basis, but which do not meet the definition of Supermarket/Grocery Store, Convenience Store, or Convenience Store with Gas Stations. For example, specialty food sales like a cheese shop or butcher.</t>
  </si>
  <si>
    <t>Food Service refers to buildings used for preparation and sale of food and beverages, but which do not meet the definition of Restaurant or Bar/Nightclub. For example a bakery or coffee shop.</t>
  </si>
  <si>
    <t>DO NOT USE -- Use the term "Office"</t>
  </si>
  <si>
    <t>Gymnasium/athletic areas, spectator areas, locker rooms, and other associated space. DO NOT USE for Stadiums; Preferred terms for Stadiums are "Stadium (Open)" and "Stadium (Closed)."</t>
  </si>
  <si>
    <t>A closed building structure with an extensive floor area, typically for housing aircraft.</t>
  </si>
  <si>
    <t>DO NOT USE -- Use the term "College/University"</t>
  </si>
  <si>
    <t xml:space="preserve">Hospital refers to a general medical and surgical hospital (including critical access hospitals and children’s hospitals). These facilities provide acute care services intended to treat patients for short periods of time, including emergency medical care, physician's office services, diagnostic care, ambulatory care, surgical care, and limited specialty services such as rehabilitation and cancer care. The definition of Hospital accounts for all space types owned by the hospital that are located within the Hospital building/campus, including non-clinical spaces such as administrative offices, food service, retail, hotels, and power plant. 
</t>
  </si>
  <si>
    <t xml:space="preserve">Hotel refers to buildings renting overnight accommodations on a room/suite and nightly basis, and typically include a bath/shower and other facilities in guest rooms. Hotel properties typically have daily services available to guests including housekeeping/laundry and a front desk/concierge. Hotel does not apply to properties where more than 50% of the floor area is occupied by fractional ownership units such as condominiums or vacation timeshares, or to private residences that are rented out on a daily or weekly basis. Hotel properties should be majority-owned by a single entity and have rooms available on a nightly basis. Condominiums or Time Shares should select the Multifamily Housing property use. </t>
  </si>
  <si>
    <t>A building used for religious services or worship. Includes chapels, churches, temples, mosques, etc.</t>
  </si>
  <si>
    <t>Buildings that include one or more indoor ice sheets used for public or private, recreational or professional skating, hockey, or ringette. Larger facilities primarily serving professional or collegiate functions and with significant spectator seating (above 5,000 seats) should be entered as Indoor Arena.</t>
  </si>
  <si>
    <t xml:space="preserve">Indoor Arena refers to enclosed structures used for professional or collegiate sports and entertainment events. Examples of events held in indoor arenas include basketball and hockey games, circus performances, and concerts. Indoor Arenas usually have capacities of 5,000 seats or more and are often characterized by multiple concourses and concession areas. </t>
  </si>
  <si>
    <t>Facility dedicated to supporting irrigation or supply of water to land or crops.</t>
  </si>
  <si>
    <t>Facilities that house and rehabilitate juvenile offenders.</t>
  </si>
  <si>
    <t>K-12 School refers to buildings or campuses used as a school for Kindergarten through 12th grade students. This does not include college or university classroom facilities/laboratories, vocational, technical, trade, adult or continuing education schools, preschool, or day care.</t>
  </si>
  <si>
    <t xml:space="preserve">Laboratory refers to buildings that provide controlled conditions in which scientific research, measurement, and experiments are performed or practical science is taught.
</t>
  </si>
  <si>
    <t xml:space="preserve">Library refers to buildings used to store and manage collections of literary and artistic materials such as books, periodicals, newspapers, films, etc. that can be used for reference or lending.
</t>
  </si>
  <si>
    <t>Lifestyle Center refers to a mixed use commercial development that includes retail stores and leisure amenities, where individual retail stores typically contain an entrance accessible from the outside and are not connected by internal walkways. Lifestyle centers have an open air design, unlike traditional enclosed malls, and often include landscaped pedestrian areas, as well as streets and vehicle parking.</t>
  </si>
  <si>
    <t>Mailing Center/Post Office refers to buildings used as retail establishments dedicated to mail and mailing supplies. This includes U.S. Post Offices, in addition to private retailers that offer priority mail services and mailing supplies.</t>
  </si>
  <si>
    <t>Manufacturing/Industrial Plant refers to buildings used for manufacturing or assembling goods. Typically a Manufacturing/Industrial plant includes a main production area that has high-ceilings and contains heavy equipment used for assembly line production.</t>
  </si>
  <si>
    <t>A dock or basin providing secure moorings for small boats.</t>
  </si>
  <si>
    <t>Medical Office refers to buildings used to provide diagnosis and treatment for medical, dental, or psychiatric outpatient care.</t>
  </si>
  <si>
    <t xml:space="preserve">A Mixed Use (or multi use) property is one contains multiple property types, none of which are greater than 50% of the total Gross Floor Area (GFA), including parking GFA. </t>
  </si>
  <si>
    <t xml:space="preserve">Movie theater refers to buildings used for public or private film screenings. </t>
  </si>
  <si>
    <t>Multifamily Housing refers to residential properties that contain two or more residential living units. These properties may include low-rise buildings (1-4 stories), mid-rise buildings (5-9 stories), or high-rise buildings (10+ stories). Occupants of these buildings may include tenants, cooperators, and/or individual owners.</t>
  </si>
  <si>
    <t xml:space="preserve">Museum refers to buildings that display collections to outside visitors for public viewing and enjoyment and for informational/educational purposes. </t>
  </si>
  <si>
    <t>A facility providing residential accommodations with healthcare, especially for elderly people.</t>
  </si>
  <si>
    <t>Office refers to buildings used for the conduct of commercial or governmental business activities. This includes administrative and professional offices.</t>
  </si>
  <si>
    <t xml:space="preserve">Other refers to buildings that do not fall within any other Primary Use categories. Before selecting Other, it is highly recommended that you review the full list of Primary Use terms to ensure that there is not a suitable category for your property.
</t>
  </si>
  <si>
    <t>Other – Education refers to buildings used for religious, community, or other educational purposes not described in the available property uses in Portfolio Manager (i.e. educational purposes other than adult education, college/university, K-12 school, pre-school/daycare and vocational schools).</t>
  </si>
  <si>
    <t xml:space="preserve">Other-Entertainment/Public Assembly refers to buildings whose primary use is for entertainment or public gatherings and that do not meet the definition of any other primary use terms. 
</t>
  </si>
  <si>
    <t xml:space="preserve">Other – Lodging/Residential refers to buildings used for residential purposes other than those described in the available property uses in Portfolio Manager (i.e. residential other than multifamily residential, single family home, senior care community, residence hall/dormitory, barracks, prison/incarceration, or hotel). </t>
  </si>
  <si>
    <t>Other-Mall refers to buildings containing a collection of stores whose purpose is the sale of goods, but which do not fit into the enclosed mall, lifestyle center, or strip mall property types.</t>
  </si>
  <si>
    <t xml:space="preserve">Other – Public Services refers to buildings used by public-sector organizations to provide public services other than those described in the available property uses in Portfolio Manager (i.e. services other than offices, courthouses, drinking water treatment and distribution plants, fire stations, libraries, mailing centers or post offices, police stations, prisons or incarceration facilities, social or meeting halls, transportation terminals or stations, or wastewater treatment plants).
</t>
  </si>
  <si>
    <t xml:space="preserve">Other-Recreation refers to buildings primarily used for recreation that do not meet the definition of any other property use defined in Portfolio Manager. </t>
  </si>
  <si>
    <t>Other – Restaurant/Bar refers to buildings used for preparation and sale of ready-to-eat food and beverages, but which does not fit into the fast food restaurant, restaurant, or bar/nightclub property types.</t>
  </si>
  <si>
    <t>Other - Services refers to buildings in which primarily services are offered, but which does not fit into the Personal Services or Repair Services property types. Examples include kennels, photo processing shops, etc.</t>
  </si>
  <si>
    <t xml:space="preserve">Other-Stadium refers to buildings primarily used for sporting events that do not meet the definition of any other property use defined in Portfolio Manager. </t>
  </si>
  <si>
    <t>Other – Technology/Science refers to buildings used for science and technology related services other than Laboratories and Data Centers.</t>
  </si>
  <si>
    <t>Other – Utility applies to buildings used by a utility for some purpose other than general office or energy/power generation. This may include utility transfer stations or maintenance facilities. Note that an administrative office occupied by a utility should be entered as Office, and a power or energy generation plant should be entered as Energy/Power Station.</t>
  </si>
  <si>
    <t>Other/Specialty Hospital refers to long-term acute care hospitals, inpatient rehabilitation facilities, including Cancer Centers and Psychiatric and Substance Abuse Hospitals/Facilities.</t>
  </si>
  <si>
    <t>Outdoor Recreation refers to facilities that primarily support oudoor activities when no other Primary Use term applies. Do not use for Stadiums or Gymnasiums.</t>
  </si>
  <si>
    <t>Outpatient Rehabilitation/Physical Therapy offices refers to buildings used to provide diagnosis and treatment for rehabilitation and physical therapy.</t>
  </si>
  <si>
    <t xml:space="preserve">Parking refers to buildings and lots used for parking vehicles. This includes open parking lots, partially enclosed parking structures, and completely enclosed (or underground) parking structures. Parking structures may be free standing or physically connected to the property. Individual private garages in Multifamily Housing are not considered Parking.
</t>
  </si>
  <si>
    <t>Performing Arts refers to buildings used for public or private artistic or musical performances.</t>
  </si>
  <si>
    <t>Personal Services refers to buildings used to sell services rather than physical goods. Examples include dry cleaners, salons, spas, etc.</t>
  </si>
  <si>
    <t>Police Station applies to buildings used for federal, state, or local police forces and their associated office space.</t>
  </si>
  <si>
    <t>Pre-school/Daycare applies to buildings used for educational programs or daytime supervision/recreation for young children before they attend Kindergarten.</t>
  </si>
  <si>
    <t>Prison/Incarceration refers to federal, state, local, or private-sector buildings used for the detention of persons awaiting trial or convicted of crimes.</t>
  </si>
  <si>
    <t>Buildings in which people gather for social or recreational activities.</t>
  </si>
  <si>
    <t>A building where pumps and other pumping equipment have been installed.</t>
  </si>
  <si>
    <t xml:space="preserve">Race Track refers to buildings used primarily to hold racing events such as vehicle races, track/field races, horse races, and/or dog-races. </t>
  </si>
  <si>
    <t>A facility that stores documents, records, and/or archival materials for long term periods. Usually a climate-controlled facility.</t>
  </si>
  <si>
    <t>Repair Services refers to buildings in which some type of repair service is provided. Examples include vehicle service or repair shops, shoe repair, jewelry repair, locksmiths, etc.</t>
  </si>
  <si>
    <t>Living facilities that do not fit the definitions for other Primary Use terms (ie not Dormitory/Residence Hall, Hospital, Nursing Home, etc.) Usually used for single family houses.</t>
  </si>
  <si>
    <t>Residential Care Facilities refers to buildings that provide rehabilitative and restorative care to patients on a long-term or permanent basis. Residential Care Facilities treat mental health issues, substance abuse, and rehabilitation for injury, illness, and disabilities. This property type is intended for facilities that offer long-term residential care to residents of all ages who may be in need of assistance with activities of daily living. If a facility is designed to provide nursing and assistance to seniors only, then the Senior Care Community property type should be used.</t>
  </si>
  <si>
    <t>Restaurant refers to buildings used for preparation and sale of ready-to-eat food and beverages, but which do not fit in the fast food property type. Examples include fast casual, casual, and fine dining restaurants.</t>
  </si>
  <si>
    <t>A public bathroom, bath house or comfort station.</t>
  </si>
  <si>
    <t>Retail Store refers to individual stores used to conduct the retail sale of non-food consumer goods such as clothing, books, toys, sporting goods, office supplies, hardware, and electronics. Buildings containing multiple stores should be classified as enclosed mall, lifestyle center, or strip mall.</t>
  </si>
  <si>
    <t>Road or bridge.</t>
  </si>
  <si>
    <t xml:space="preserve">Roller Rink refers to buildings used primarily for roller-skating, inline skating/rollerblading, or skateboarding. </t>
  </si>
  <si>
    <t>A building in which are scales used; a weigh station.</t>
  </si>
  <si>
    <t>Self-Storage Facility refers to buildings that are used for private storage. Typically, a single Self Storage Facility will contain a variety of individual units that are rented out for the purpose of storing personal belongings.</t>
  </si>
  <si>
    <t xml:space="preserve">Senior Care Facility refers to buildings that house and provide care and assistance for elderly residents. </t>
  </si>
  <si>
    <t>An open structure with roof intended to provide shelter from weather.</t>
  </si>
  <si>
    <t>Facility utilized for maintenance and/or repair, especially of fleet or other vehicles.</t>
  </si>
  <si>
    <t>A public bathroom, bath house, or comfort station that includes shower or showers.</t>
  </si>
  <si>
    <t>Single Family Home refers to a standalone building with its own lot that provides living space for one household or family.</t>
  </si>
  <si>
    <t>Social/Meeting hall refers to buildings primarily used for public or private gatherings. This may include community group meetings, seminars, workshops, or performances. Please note that there is another property use available, Convention Center, for large exhibition and conference facilities.</t>
  </si>
  <si>
    <t xml:space="preserve">Stadium (Closed) refers to structures with a permanent or retractable roof which are used primarily for professional or collegiate sports and entertainment events. Examples of events held in closed stadiums include baseball and football games, and concerts. Closed Stadiums usually have capacities of 25,000 seats or more and are often characterized by multiple concourses and concession areas. </t>
  </si>
  <si>
    <t xml:space="preserve">Stadium (Open) refers to structures used primarily for professional or collegiate sports and entertainment events in which the playing field is not covered and is exposed to the outside. Examples of events held in open stadiums include baseball, football, and soccer games, and concerts. Open Stadiums usually have capacities of 5,000 seats or more and are often characterized by multiple concourses and concession areas. </t>
  </si>
  <si>
    <t>Facility used to store goods. Only use if no other term (ie. Warehouse) applies.</t>
  </si>
  <si>
    <t>Strip mall refers to buildings comprising more than one retail store, restaurant, or other business, in an open-air configuration where each establishment has an exterior entrance to the public and there are no internal walkways.</t>
  </si>
  <si>
    <t>Supermarket/Grocery Store refers to buildings used for the retail sale of primarily food and beverage products, and which may include small amounts of preparation and sale of ready-to-eat food. Buildings where the primary business is the onsite preparation and sale of ready-to-eat food should use one of the Restaurant property types.</t>
  </si>
  <si>
    <t>Swimming Pool refers to any heated swimming pools located either inside or outside.</t>
  </si>
  <si>
    <t>Transportation Terminal/Station applies to buildings used primarily for accessing public or private transportation. This includes train stations, bus stations, airports, and seaports. These terminals include areas for ticket purchases, and embarkation/disembarkation, and may also include public waiting areas with restaurants and other concessions.</t>
  </si>
  <si>
    <t>Urgent Care Center/Clinic/Other Outpatient Office refers to buildings used to treat patients, usually on an unscheduled, walk-in basis, who have an injury or illness that requires immediate care but is not serious enough to warrant a visit to an emergency department.</t>
  </si>
  <si>
    <t>Vacancy refers to a building that is not in use and not occupied.</t>
  </si>
  <si>
    <t>A Veterinary Office refers to buildings used for the medical care and treatment of animals.</t>
  </si>
  <si>
    <t>A building that gives information and services to visitors to a place such as a city, historical building, or nature reserve.</t>
  </si>
  <si>
    <t>Vocational School refers to buildings primarily designed to teach skilled trades to students, including trade and technical schools. Typically vocational schools are commonly post-secondary education, consisting of 1-2 years of technical/trade training.</t>
  </si>
  <si>
    <t>Warehouse-Refrigerated refers to refrigerated buildings that are used to store perishable goods or merchandise under refrigeration at temperatures below 50 degrees Fahrenheit.</t>
  </si>
  <si>
    <t>Warehouse-Unrefrigerated refers to buildings that are used to store non-perishable goods or merchandise.</t>
  </si>
  <si>
    <t>Wastewater Treatment Plant refers to facilities designed to treat municipal wastewater. The level of treatment at a plant will vary based on the BOD limits and the specific processes involved. This property use is intended for primary, secondary, and advanced treatment facilities with or without nutrient removal. Treatment processes may include biological, chemical, and physical treatment. This property use does not apply to drinking water treatment and distribution facilities.</t>
  </si>
  <si>
    <t>Water supply facility refers to structures and related apparatus used in the collection, treatment, or distribution of water for domestic and other uses.</t>
  </si>
  <si>
    <t xml:space="preserve">Wholesale Club/Supercenter refers to buildings used to conduct the retail sale of a wide variety of merchandise, typically in bulk quantities. Merchandise may include food, clothing, office supplies, furniture, electronics, books, sporting goods, toys, and hardware.
</t>
  </si>
  <si>
    <r>
      <t>An</t>
    </r>
    <r>
      <rPr>
        <b/>
        <sz val="12"/>
        <color rgb="FF000000"/>
        <rFont val="Arial"/>
        <family val="2"/>
      </rPr>
      <t xml:space="preserve"> independently metered</t>
    </r>
    <r>
      <rPr>
        <sz val="12"/>
        <color rgb="FF000000"/>
        <rFont val="Arial"/>
        <family val="2"/>
      </rPr>
      <t xml:space="preserve"> building is one that has its own utility bill and does not share a meter with another building.
 It is possible to easily determine the energy usage for an independently metered building. 
A </t>
    </r>
    <r>
      <rPr>
        <b/>
        <sz val="12"/>
        <color rgb="FF000000"/>
        <rFont val="Arial"/>
        <family val="2"/>
      </rPr>
      <t>campus metered</t>
    </r>
    <r>
      <rPr>
        <sz val="12"/>
        <color rgb="FF000000"/>
        <rFont val="Arial"/>
        <family val="2"/>
      </rPr>
      <t xml:space="preserve"> building is one that gets its utilities from a central source,</t>
    </r>
    <r>
      <rPr>
        <b/>
        <sz val="12"/>
        <color rgb="FF000000"/>
        <rFont val="Arial"/>
        <family val="2"/>
      </rPr>
      <t xml:space="preserve"> and </t>
    </r>
    <r>
      <rPr>
        <sz val="12"/>
        <color rgb="FF000000"/>
        <rFont val="Arial"/>
        <family val="2"/>
      </rPr>
      <t>does not have a meter that measures 
energy usage at the building level. Since a campus metered building shares one or more energy meters with other building(s),
 it will not receive its own utility bill and it is not possible to determine the energy usage for that building. Usage and bills are</t>
    </r>
    <r>
      <rPr>
        <b/>
        <sz val="12"/>
        <color rgb="FF000000"/>
        <rFont val="Arial"/>
        <family val="2"/>
      </rPr>
      <t xml:space="preserve"> only</t>
    </r>
    <r>
      <rPr>
        <sz val="12"/>
        <color rgb="FF000000"/>
        <rFont val="Arial"/>
        <family val="2"/>
      </rPr>
      <t xml:space="preserve">
 available at the campus level. Campus metered buildings are excellent candidates for submetering projects. 
</t>
    </r>
  </si>
  <si>
    <t xml:space="preserve">Property Owned By State: </t>
  </si>
  <si>
    <t xml:space="preserve">State uses it or rents it to a third party  </t>
  </si>
  <si>
    <t xml:space="preserve">Property Leased By State: </t>
  </si>
  <si>
    <t>Someone non-State owns it (leased by State from a third party)</t>
  </si>
  <si>
    <t>Organization Code
Update</t>
  </si>
  <si>
    <t>Organization Name
Update</t>
  </si>
  <si>
    <t>Organization Type
Code</t>
  </si>
  <si>
    <t>Organization Type
Code Update</t>
  </si>
  <si>
    <t>Parent Organization
Code</t>
  </si>
  <si>
    <t>Parent Organization
Code Update</t>
  </si>
  <si>
    <t>Building Code
Update</t>
  </si>
  <si>
    <t>Building Name
Update</t>
  </si>
  <si>
    <t>Must be unique</t>
  </si>
  <si>
    <t>Used for both Organization 
AND Building</t>
  </si>
  <si>
    <t>Select</t>
  </si>
  <si>
    <t>Building Address
Street 1</t>
  </si>
  <si>
    <t>Building Address
Street 1 Update</t>
  </si>
  <si>
    <t>Building Address
Street 2</t>
  </si>
  <si>
    <t>Building Address
Street 2 Update</t>
  </si>
  <si>
    <t>Building Address
Postal Code</t>
  </si>
  <si>
    <t>Building Address
Postal Code Update</t>
  </si>
  <si>
    <t>Build Date 
Update</t>
  </si>
  <si>
    <t>Floor Area
Update</t>
  </si>
  <si>
    <t>Floor Area
Unit</t>
  </si>
  <si>
    <t>Floor Area
Unit Update</t>
  </si>
  <si>
    <t>Floor Area
Effective Date</t>
  </si>
  <si>
    <t>Floor Area 
Effective Date Update</t>
  </si>
  <si>
    <t>Primary Use
Code</t>
  </si>
  <si>
    <t>Primary Use
Code Update</t>
  </si>
  <si>
    <t>Earliest permitted date is 1/1/1901
- Format: m/d/yyyy</t>
  </si>
  <si>
    <t>Format: m/d/yyyy</t>
  </si>
  <si>
    <t>Owned or Leased</t>
  </si>
  <si>
    <t>Owned or Leased Update</t>
  </si>
  <si>
    <t/>
  </si>
  <si>
    <t>255 Characters</t>
  </si>
  <si>
    <t>Select all that apply</t>
  </si>
  <si>
    <t>Electric Meter Name</t>
  </si>
  <si>
    <t>Natural Gas Meter Name</t>
  </si>
  <si>
    <t xml:space="preserve">The following building information need to be updated in the database: </t>
  </si>
  <si>
    <t>Notes</t>
  </si>
  <si>
    <t>Independent/Campus Meter</t>
  </si>
  <si>
    <t xml:space="preserve">Dropdown List </t>
  </si>
  <si>
    <t>Primary Use</t>
  </si>
  <si>
    <t xml:space="preserve">Definition </t>
  </si>
  <si>
    <t xml:space="preserve">Primary Use </t>
  </si>
  <si>
    <t>Definition</t>
  </si>
  <si>
    <r>
      <t xml:space="preserve">· The </t>
    </r>
    <r>
      <rPr>
        <b/>
        <sz val="12"/>
        <color rgb="FF222222"/>
        <rFont val="Arial"/>
        <family val="2"/>
      </rPr>
      <t>"Building Data"</t>
    </r>
    <r>
      <rPr>
        <sz val="12"/>
        <color rgb="FF222222"/>
        <rFont val="Arial"/>
        <family val="2"/>
      </rPr>
      <t xml:space="preserve"> tab has two (2) duplicate columns for most attributes, the grey/shaded columns show the current values while the white columns are for your updates. </t>
    </r>
  </si>
  <si>
    <t xml:space="preserve">· If the grey/shaded column is blank, enter missing information in the next column (white column). </t>
  </si>
  <si>
    <t>· If information is available, verify that it’s correct. If the information is incorrect, enter updates in the next (white) column.</t>
  </si>
  <si>
    <t>· Do not enter any information in the grey/shaded columns.</t>
  </si>
  <si>
    <t>· Do not reposition or delete any columns.</t>
  </si>
  <si>
    <t>· Enter floor area using square feet (sqft) as your unit.</t>
  </si>
  <si>
    <t>· Enter any missing buildings and information we are requesting after the last entry on the spreadsheet.</t>
  </si>
  <si>
    <t>Instructions for filling the spreadsheet</t>
  </si>
  <si>
    <r>
      <t xml:space="preserve">*Required for Building if Country is not Other
- 5 or 9 digit Postal Code
- Enter as </t>
    </r>
    <r>
      <rPr>
        <b/>
        <i/>
        <sz val="10"/>
        <rFont val="Tahoma"/>
        <family val="2"/>
      </rPr>
      <t>text</t>
    </r>
  </si>
  <si>
    <t xml:space="preserve">Information in STEP 1:  (Column E in "Electric Meters" and "Natural Gas Meters" tabs) </t>
  </si>
  <si>
    <r>
      <rPr>
        <b/>
        <sz val="12"/>
        <color rgb="FF222222"/>
        <rFont val="Arial"/>
        <family val="2"/>
      </rPr>
      <t>· Independent or Campus Meter --</t>
    </r>
    <r>
      <rPr>
        <sz val="12"/>
        <color rgb="FF222222"/>
        <rFont val="Arial"/>
        <family val="2"/>
      </rPr>
      <t xml:space="preserve"> to be indicated for each meter selected </t>
    </r>
  </si>
  <si>
    <t>Information in SETP 2: (Building Data tab)</t>
  </si>
  <si>
    <r>
      <t xml:space="preserve">· </t>
    </r>
    <r>
      <rPr>
        <b/>
        <sz val="12"/>
        <color rgb="FF222222"/>
        <rFont val="Arial"/>
        <family val="2"/>
      </rPr>
      <t xml:space="preserve">Owned by State, Leased by State, No Longer Leased status (Column P) </t>
    </r>
    <r>
      <rPr>
        <sz val="12"/>
        <color rgb="FF222222"/>
        <rFont val="Arial"/>
        <family val="2"/>
      </rPr>
      <t xml:space="preserve">-- Please see </t>
    </r>
    <r>
      <rPr>
        <b/>
        <sz val="12"/>
        <color rgb="FF222222"/>
        <rFont val="Arial"/>
        <family val="2"/>
      </rPr>
      <t>"Definitions"</t>
    </r>
    <r>
      <rPr>
        <sz val="12"/>
        <color rgb="FF222222"/>
        <rFont val="Arial"/>
        <family val="2"/>
      </rPr>
      <t xml:space="preserve"> Tab for clarifications.</t>
    </r>
  </si>
  <si>
    <r>
      <rPr>
        <b/>
        <sz val="12"/>
        <color rgb="FF222222"/>
        <rFont val="Arial"/>
        <family val="2"/>
      </rPr>
      <t xml:space="preserve">· Electric Meter(s) and Natural Gas Meter(s)  (Columns Q and R) -- </t>
    </r>
    <r>
      <rPr>
        <sz val="12"/>
        <color rgb="FF222222"/>
        <rFont val="Arial"/>
        <family val="2"/>
      </rPr>
      <t xml:space="preserve"> to be selected from a drop down list for each building (after completing STEP 1).</t>
    </r>
  </si>
  <si>
    <t>· Building Address (Columns T, V and X).</t>
  </si>
  <si>
    <r>
      <t>·</t>
    </r>
    <r>
      <rPr>
        <b/>
        <sz val="12"/>
        <color rgb="FF222222"/>
        <rFont val="Arial"/>
        <family val="2"/>
      </rPr>
      <t xml:space="preserve"> Build Date (Column Z)</t>
    </r>
    <r>
      <rPr>
        <sz val="12"/>
        <color rgb="FF222222"/>
        <rFont val="Arial"/>
        <family val="2"/>
      </rPr>
      <t xml:space="preserve"> -- the date that the facility was constructed. </t>
    </r>
  </si>
  <si>
    <r>
      <t>·</t>
    </r>
    <r>
      <rPr>
        <b/>
        <sz val="12"/>
        <color rgb="FF222222"/>
        <rFont val="Arial"/>
        <family val="2"/>
      </rPr>
      <t xml:space="preserve"> Floor Area (Column AB) </t>
    </r>
    <r>
      <rPr>
        <sz val="12"/>
        <color rgb="FF222222"/>
        <rFont val="Arial"/>
        <family val="2"/>
      </rPr>
      <t xml:space="preserve">-- the total gross area of the facility in square feet (sqft). </t>
    </r>
  </si>
  <si>
    <r>
      <t xml:space="preserve">· </t>
    </r>
    <r>
      <rPr>
        <b/>
        <sz val="12"/>
        <color rgb="FF222222"/>
        <rFont val="Arial"/>
        <family val="2"/>
      </rPr>
      <t xml:space="preserve">Floor Area Effective Date (Column AF) </t>
    </r>
    <r>
      <rPr>
        <sz val="12"/>
        <color rgb="FF222222"/>
        <rFont val="Arial"/>
        <family val="2"/>
      </rPr>
      <t>-- Please indicate the date for the most recent floor area. Examples:</t>
    </r>
  </si>
  <si>
    <r>
      <t xml:space="preserve">              If the building is demolished, effective date would be the </t>
    </r>
    <r>
      <rPr>
        <b/>
        <sz val="12"/>
        <color rgb="FF222222"/>
        <rFont val="Arial"/>
        <family val="2"/>
      </rPr>
      <t>date of demolition</t>
    </r>
    <r>
      <rPr>
        <sz val="12"/>
        <color rgb="FF222222"/>
        <rFont val="Arial"/>
        <family val="2"/>
      </rPr>
      <t>.</t>
    </r>
  </si>
  <si>
    <r>
      <t xml:space="preserve">              If the building is renovated, the effective date would be the </t>
    </r>
    <r>
      <rPr>
        <b/>
        <sz val="12"/>
        <color rgb="FF222222"/>
        <rFont val="Arial"/>
        <family val="2"/>
      </rPr>
      <t>date of renovation</t>
    </r>
    <r>
      <rPr>
        <sz val="12"/>
        <color rgb="FF222222"/>
        <rFont val="Arial"/>
        <family val="2"/>
      </rPr>
      <t>.</t>
    </r>
  </si>
  <si>
    <r>
      <t>·</t>
    </r>
    <r>
      <rPr>
        <b/>
        <sz val="12"/>
        <color rgb="FF222222"/>
        <rFont val="Arial"/>
        <family val="2"/>
      </rPr>
      <t xml:space="preserve"> Primary Use (column AH) </t>
    </r>
    <r>
      <rPr>
        <sz val="12"/>
        <color rgb="FF222222"/>
        <rFont val="Arial"/>
        <family val="2"/>
      </rPr>
      <t>-- the main function of the facility or site (for example: offices, street lighting, fishery, refrigerated warehouse, etc.).</t>
    </r>
  </si>
  <si>
    <t xml:space="preserve">STEP 1 - Updating "Electric Meters" and "Natural Gas Meters" tabs </t>
  </si>
  <si>
    <t>· The Electric Meters and Natural Gas Meters tabs contain lists of all active meters availaible on the database for your agency.</t>
  </si>
  <si>
    <r>
      <t xml:space="preserve">· Look up the definition of Independent Meter and Campus Meter in the </t>
    </r>
    <r>
      <rPr>
        <b/>
        <sz val="12"/>
        <color rgb="FF222222"/>
        <rFont val="Arial"/>
        <family val="2"/>
      </rPr>
      <t>"Definitions"</t>
    </r>
    <r>
      <rPr>
        <sz val="12"/>
        <color rgb="FF222222"/>
        <rFont val="Arial"/>
        <family val="2"/>
      </rPr>
      <t xml:space="preserve"> tab.</t>
    </r>
  </si>
  <si>
    <t>· Select Independent Meter or Campus Meter from a dropdown list in Column E for each meter in both tabs.</t>
  </si>
  <si>
    <t>· Column F in each tab will populate a list of "Meter Name - Independent/Campus Meter".</t>
  </si>
  <si>
    <r>
      <t xml:space="preserve">· These lists will be used in the </t>
    </r>
    <r>
      <rPr>
        <b/>
        <sz val="12"/>
        <color rgb="FF222222"/>
        <rFont val="Arial"/>
        <family val="2"/>
      </rPr>
      <t>"Building Data"</t>
    </r>
    <r>
      <rPr>
        <sz val="12"/>
        <color rgb="FF222222"/>
        <rFont val="Arial"/>
        <family val="2"/>
      </rPr>
      <t xml:space="preserve"> tab to match each building with its Electric Meter(s) and Natural Gas Meter(s) (Columns Q and R) from a dropdown list.</t>
    </r>
  </si>
  <si>
    <t>STEP 2 - Updating "Building Data" tab</t>
  </si>
  <si>
    <t>· Fill Electric Meter(s) and Natural Gas Meter(s) columns using a dropdown list of numerically ordered agency meters.</t>
  </si>
  <si>
    <t>· If there is a place listed under "Building Name" column that is not a building please indicate that in the "Notes" column (column AI).</t>
  </si>
  <si>
    <t>20452179997 - 1 College Backbone Rd</t>
  </si>
  <si>
    <t>20452179999 - 1 College Backbone Rd</t>
  </si>
  <si>
    <t>20471779997 - 1 College Backbone</t>
  </si>
  <si>
    <t>20479479999 - 1 COLLEGE BACKBONE RD</t>
  </si>
  <si>
    <t>20479819802 - 1 COLLEGE BACKBONE RD</t>
  </si>
  <si>
    <t>20479819948 - 1 COLLEGE BACKBONE RD</t>
  </si>
  <si>
    <t>20479819949 - 1 COLLEGE BACKBONE RD</t>
  </si>
  <si>
    <t>20479819950 - 1 COLLEGE BACKBONE RD</t>
  </si>
  <si>
    <t>20479819951 - 1 COLLEGE BACKBONE RD</t>
  </si>
  <si>
    <t>20479819953 - 1 COLLEGE BACKBONE RD</t>
  </si>
  <si>
    <t>20479819954 - 1 COLLEGE BACKBONE RD</t>
  </si>
  <si>
    <t>20479819955 - 1 College Backbone Rd</t>
  </si>
  <si>
    <t>20479819956 - 1 College Backbone Rd</t>
  </si>
  <si>
    <t>20479819957 - 1 College Backbone Rd</t>
  </si>
  <si>
    <t>20479819958 - 1 College Backbone Rd</t>
  </si>
  <si>
    <t>20479819959 - 1 College Backbone Rd</t>
  </si>
  <si>
    <t>20479819960 - 1 College Backbone Rd</t>
  </si>
  <si>
    <t>20479819961 - 1 College Backbone Rd</t>
  </si>
  <si>
    <t>20479819962 - 1 College Backbone Rd</t>
  </si>
  <si>
    <t>20479819963 - 1 College Backbone Rd</t>
  </si>
  <si>
    <t>20479819964 - 1 College Backbone Rd</t>
  </si>
  <si>
    <t>20479819965 - 1 COLLEGE BACKBONE RD</t>
  </si>
  <si>
    <t>20479819966 - 1 College Backbone Rd</t>
  </si>
  <si>
    <t>20479819967 - 1 College Backbone Rd</t>
  </si>
  <si>
    <t>20479819968 - 1 College Backbone Rd</t>
  </si>
  <si>
    <t>20479819969 - 1 College Backbone Rd</t>
  </si>
  <si>
    <t>20479819970 - 1 College Backbone Rd</t>
  </si>
  <si>
    <t>20479819971 - 1 College Backbone Rd</t>
  </si>
  <si>
    <t>20479819973 - 1 College Backbone Rd</t>
  </si>
  <si>
    <t>20479819974 - 1 COLLEGE BACKBONE RD</t>
  </si>
  <si>
    <t>20479819975 - 1 COLLEGE BACKBONE RD</t>
  </si>
  <si>
    <t>20479819976 - 1 COLLEGE BACKBONE RD</t>
  </si>
  <si>
    <t>20479819977 - 1 COLLEGE BACKBONE RD</t>
  </si>
  <si>
    <t>20479819978 - 1 COLLEGE BACKBONE RD</t>
  </si>
  <si>
    <t>20479819979 - 1 COLLEGE BACKBONE RD</t>
  </si>
  <si>
    <t>20479819980 - 1 COLLEGE BACKBONE RD</t>
  </si>
  <si>
    <t>20479819982 - 1 COLLEGE BACKBONE RD</t>
  </si>
  <si>
    <t>20479819972 - 1 College Backbone Rd</t>
  </si>
  <si>
    <t>20479819983 - 1 COLLEGE BACKBONE RD</t>
  </si>
  <si>
    <t>20479819984 - 1 COLLEGE BACKBONE RD</t>
  </si>
  <si>
    <t>20479819985 - 1 COLLEGE BACKBONE RD</t>
  </si>
  <si>
    <t>20479819986 - 1 COLLEGE BACKBONE RD</t>
  </si>
  <si>
    <t>20479819987 - 1 COLLEGE BACKBONE RD</t>
  </si>
  <si>
    <t>20479819988 - 1 COLLEGE BACKBONE RD</t>
  </si>
  <si>
    <t>20479819989 - 1 COLLEGE BACKBONE RD</t>
  </si>
  <si>
    <t>20479819990 - 1 COLLEGE BACKBONE RD</t>
  </si>
  <si>
    <t>20479819991 - 1 COLLEGE BACKBONE RD</t>
  </si>
  <si>
    <t>20479819992 - 1 COLLEGE BACKBONE RD</t>
  </si>
  <si>
    <t>20479819993 - 1 COLLEGE BACKBONE RD</t>
  </si>
  <si>
    <t>20479819994 - 1 College Backbone Rd</t>
  </si>
  <si>
    <t>20479819995 - 1 College Backbone Rd</t>
  </si>
  <si>
    <t>20479819996 - 1 College Backbone Rd</t>
  </si>
  <si>
    <t>20479819997 - 1 College Backbone Rd</t>
  </si>
  <si>
    <t>20479819998 - 1 COLLEGE BACKBONE RD</t>
  </si>
  <si>
    <t>20552649999 - 11868 Academic Oval</t>
  </si>
  <si>
    <t>22560739998 - 1 COLLEGE BACKBONE RD</t>
  </si>
  <si>
    <t>20479819981 - 1 COLLEGE BACKBONE RD</t>
  </si>
  <si>
    <t>990899300 - BACKBONE RD</t>
  </si>
  <si>
    <t>1445300 - BACKBONE RD</t>
  </si>
  <si>
    <t>665298500 - 30865 COLLEGE BACKBONE RD</t>
  </si>
  <si>
    <t>665298600 - 30865 COLLEGE BACKBONE RD</t>
  </si>
  <si>
    <t>665298800 - 30865 COLLEGE BACKBONE RD</t>
  </si>
  <si>
    <t>DELMARVA POWER</t>
  </si>
  <si>
    <t>CHOPTANK ELECTRIC</t>
  </si>
  <si>
    <t>Choptank Electric</t>
  </si>
  <si>
    <t>55003538042 - College Backbone Rd</t>
  </si>
  <si>
    <t>55003538745 - 11850 Tom Nichols Rd</t>
  </si>
  <si>
    <t>55006452258 - College Rd</t>
  </si>
  <si>
    <t>55007284346 - 11850 Tom Nichols Rd</t>
  </si>
  <si>
    <t>55007354149 - 30578 Broad St</t>
  </si>
  <si>
    <t>55007354958 - 30578 Broad St</t>
  </si>
  <si>
    <t>55007355229 - 30578 Broad St</t>
  </si>
  <si>
    <t>55007356193 - 30578 Broad St</t>
  </si>
  <si>
    <t>55007356490 - 30578 Broad St</t>
  </si>
  <si>
    <t>55007356888 - 30578 Broad St</t>
  </si>
  <si>
    <t>55007357266 - 30578 Broad St</t>
  </si>
  <si>
    <t>55007357837 - 30578 Broad St</t>
  </si>
  <si>
    <t>55007378098 - 30578 Broad St</t>
  </si>
  <si>
    <t>55007378445 - 30578 Broad St Apt 1521</t>
  </si>
  <si>
    <t>55007378684 - 30578 Broad St</t>
  </si>
  <si>
    <t>55007379120 - 30578 Broad St</t>
  </si>
  <si>
    <t>55007379591 - 30578 Broad St</t>
  </si>
  <si>
    <t>55007379807 - 30578 Broad St</t>
  </si>
  <si>
    <t>55007380300 - 30578 Broad St</t>
  </si>
  <si>
    <t>55007380797 - 30578 Broad St</t>
  </si>
  <si>
    <t>55007380946 - 30578 Broad St</t>
  </si>
  <si>
    <t>55007381340 - 11811 Tom Nichols Rd</t>
  </si>
  <si>
    <t>55007381787 - 30578 Broad St</t>
  </si>
  <si>
    <t>55007402112 - 30578 Broad St</t>
  </si>
  <si>
    <t>55007402450 - 30578 Broad St</t>
  </si>
  <si>
    <t>55007402914 - 30578 Broad St</t>
  </si>
  <si>
    <t>55007403136 - 30578 Broad St</t>
  </si>
  <si>
    <t>55007403433 - 30578 Broad St</t>
  </si>
  <si>
    <t>55007404324 - 30578 Broad St</t>
  </si>
  <si>
    <t>55007404845 - 30578 Broad St</t>
  </si>
  <si>
    <t>55007405222 - 30578 Broad St</t>
  </si>
  <si>
    <t>55007405636 - 30578 Broad St</t>
  </si>
  <si>
    <t>55007405891 - 30578 Broad St</t>
  </si>
  <si>
    <t>55007426194 - 30578 Broad St</t>
  </si>
  <si>
    <t>55007426830 - 30578 Broad St</t>
  </si>
  <si>
    <t>55007427077 - 30578 Broad St</t>
  </si>
  <si>
    <t>55007427903 - 30578 Broad St</t>
  </si>
  <si>
    <t>55007403870 - 30578 Broad St</t>
  </si>
  <si>
    <t>55007428141 - 30578 Broad St</t>
  </si>
  <si>
    <t>55007428794 - 30578 Broad St</t>
  </si>
  <si>
    <t>55007429131 - 30578 Broad St</t>
  </si>
  <si>
    <t>55007429586 - 30578 Broad St</t>
  </si>
  <si>
    <t>55007450020 - 30578 Broad St</t>
  </si>
  <si>
    <t>55007450400 - 30578 Broad St</t>
  </si>
  <si>
    <t>55007450822 - 30578 Broad St</t>
  </si>
  <si>
    <t>55007451150 - 30578 Broad St</t>
  </si>
  <si>
    <t>55007451549 - 30578 Broad St</t>
  </si>
  <si>
    <t>55007451887 - 30578 Broad St</t>
  </si>
  <si>
    <t>55007452109 - 30578 Broad St</t>
  </si>
  <si>
    <t>55007452299 - 30578 Broad St</t>
  </si>
  <si>
    <t>55007452364 - 30578 Broad St</t>
  </si>
  <si>
    <t>55007452695 - 30578 Broad St</t>
  </si>
  <si>
    <t>55007452950 - 30578 Broad St</t>
  </si>
  <si>
    <t>55007453404 - 30578 Broad St</t>
  </si>
  <si>
    <t>55003385337 (Central) - U Of Md Eastern Shore</t>
  </si>
  <si>
    <t>55009362223 - College Backbone Rd</t>
  </si>
  <si>
    <t>55007427333 - 30578 Broad St</t>
  </si>
  <si>
    <t>990899300 - 11802 MARSH VIEW LN.</t>
  </si>
  <si>
    <t>1445300 - MARKSMAN FARM OFFICE</t>
  </si>
  <si>
    <t>665298500 - GARAGE/MARKSMAN FARM</t>
  </si>
  <si>
    <t>665298600 - HOUSE 12116 BACKBONE RD.</t>
  </si>
  <si>
    <t>665298800 - BACKBONE RD. IRRIGATION PUMP</t>
  </si>
  <si>
    <t>37398249999 - STUDENT DEVELOP CTR STE 1160</t>
  </si>
  <si>
    <t>55011723693 - Hytche Blvd Kiosk</t>
  </si>
  <si>
    <t>22560739992 - 1 COLLEGE BACKBONE RD</t>
  </si>
  <si>
    <t>55009341805 - Tom Nichols Rd Apt Temp</t>
  </si>
  <si>
    <t>1886102 - 30865 College Backbone Rd</t>
  </si>
  <si>
    <t>1886102 - GreenHouse</t>
  </si>
  <si>
    <t>09589000114 - MD RT 388 TOM NICHOLS RD</t>
  </si>
  <si>
    <t>SUNEDISON</t>
  </si>
  <si>
    <t>LongRoad (prev SunEdison)</t>
  </si>
  <si>
    <t>50000661251 - 11868 ACADEMIC OVAL</t>
  </si>
  <si>
    <t>50000661251 - 10789 Stewart Neck Rd</t>
  </si>
  <si>
    <t>1203</t>
  </si>
  <si>
    <t>UMES-USM</t>
  </si>
  <si>
    <t>Univ of Maryland - Eastern Shore (UMES)</t>
  </si>
  <si>
    <t>USM</t>
  </si>
  <si>
    <t>9050</t>
  </si>
  <si>
    <t>UMES-1511</t>
  </si>
  <si>
    <t>9087</t>
  </si>
  <si>
    <t>UMES-1AGBLD</t>
  </si>
  <si>
    <t>2 AG BLD, BACKBONE ROAD</t>
  </si>
  <si>
    <t>9062</t>
  </si>
  <si>
    <t>UMES-1CHICKENHOUSE</t>
  </si>
  <si>
    <t>CHICKEN HOUSE, BACKBONE ROAD</t>
  </si>
  <si>
    <t>9076</t>
  </si>
  <si>
    <t>UMES-1FOODSERVICE</t>
  </si>
  <si>
    <t>FOOD SERVICE, BACKBONE ROAD</t>
  </si>
  <si>
    <t>9065</t>
  </si>
  <si>
    <t>UMES-2CHICKENHOUSE</t>
  </si>
  <si>
    <t>2 CHICKEN HOUSE, BACKBONE ROAD</t>
  </si>
  <si>
    <t>9059</t>
  </si>
  <si>
    <t>UMES-2IRRAGATIONPUMP</t>
  </si>
  <si>
    <t>2 IRRAGATION PUMP, BACKBONE ROAD</t>
  </si>
  <si>
    <t>9064</t>
  </si>
  <si>
    <t>UMES-2PPOLTRYBLD</t>
  </si>
  <si>
    <t>2 POULTRY BLD, BACKBONE ROAD</t>
  </si>
  <si>
    <t>9060</t>
  </si>
  <si>
    <t>UMES-300BED</t>
  </si>
  <si>
    <t>300 BED, BACKBONE ROAD</t>
  </si>
  <si>
    <t>9066</t>
  </si>
  <si>
    <t>UMES-3CHICKENHOUSE</t>
  </si>
  <si>
    <t>3 CHICKEN HOUSE, BACKBONE ROAD</t>
  </si>
  <si>
    <t>9069</t>
  </si>
  <si>
    <t>UMES-4CHICKENHOUSE</t>
  </si>
  <si>
    <t>4 CHICKEN HOUSE, BACKBONE ROAD</t>
  </si>
  <si>
    <t>9081</t>
  </si>
  <si>
    <t>UMES-AGBLD</t>
  </si>
  <si>
    <t>AS BLD, BACKBONE ROAD</t>
  </si>
  <si>
    <t>9096</t>
  </si>
  <si>
    <t>UMES-AQUACULTURE</t>
  </si>
  <si>
    <t>AQUACULTURE, BACKBONE ROAD</t>
  </si>
  <si>
    <t>9084</t>
  </si>
  <si>
    <t>UMES-ART&amp;TECH</t>
  </si>
  <si>
    <t>ART &amp; TECH, BACKBONE ROAD</t>
  </si>
  <si>
    <t>9068</t>
  </si>
  <si>
    <t>UMES-ATHLETICCENTER</t>
  </si>
  <si>
    <t>ATHLETIC CENTER, BACKBONE ROAD</t>
  </si>
  <si>
    <t>9047</t>
  </si>
  <si>
    <t>UMES-BACKBONEROAD</t>
  </si>
  <si>
    <t>9048</t>
  </si>
  <si>
    <t>UMES-BREITZELFARMHOUS</t>
  </si>
  <si>
    <t>BREITZEL FARMHOUSE, WILLIAM P HYCHE BLVD</t>
  </si>
  <si>
    <t>9044</t>
  </si>
  <si>
    <t>UMES-BROADSTREET1521</t>
  </si>
  <si>
    <t>9085</t>
  </si>
  <si>
    <t>UMES-CAMPUSWIDE2FUELO</t>
  </si>
  <si>
    <t>CAMPUS WIDE#2 FUEL OIL, BACKBONE RD</t>
  </si>
  <si>
    <t>9067</t>
  </si>
  <si>
    <t>UMES-CARVERHALL</t>
  </si>
  <si>
    <t>CARVER HALL, BACKBONE ROAD</t>
  </si>
  <si>
    <t>9078</t>
  </si>
  <si>
    <t>UMES-CENTRALSTEAM</t>
  </si>
  <si>
    <t>CENTRAL STEAM, BACKBONE ROAD</t>
  </si>
  <si>
    <t>9097</t>
  </si>
  <si>
    <t>UMES-CENTRALSTEAMPLAN</t>
  </si>
  <si>
    <t>CENTRAL STEAM PLANT #6 FUEL, BACKBONE RD</t>
  </si>
  <si>
    <t>9051</t>
  </si>
  <si>
    <t>UMES-CHICKENFARM11811</t>
  </si>
  <si>
    <t>CHICKEN FARM 11811, BACKBONE ROAD</t>
  </si>
  <si>
    <t>9094</t>
  </si>
  <si>
    <t>UMES-COASTALECOLOGY</t>
  </si>
  <si>
    <t>9075</t>
  </si>
  <si>
    <t>UMES-CROPMAINT</t>
  </si>
  <si>
    <t>CROP MAINT, BACKBONE ROAD</t>
  </si>
  <si>
    <t>9080</t>
  </si>
  <si>
    <t>UMES-DISPENSINGPUMP</t>
  </si>
  <si>
    <t>DISPENSING PUMP, BACKBONE ROAD</t>
  </si>
  <si>
    <t>9054</t>
  </si>
  <si>
    <t>UMES-ECOLOGY1802MARSH</t>
  </si>
  <si>
    <t>ECOLOGY 1802 MARSH LANE, 1802 MARSH VIEW</t>
  </si>
  <si>
    <t>9071</t>
  </si>
  <si>
    <t>UMES-ENTFARM</t>
  </si>
  <si>
    <t>ENT FARM, BACKBONE ROAD</t>
  </si>
  <si>
    <t>9089</t>
  </si>
  <si>
    <t>UMES-FOODSCIENCE</t>
  </si>
  <si>
    <t>9082</t>
  </si>
  <si>
    <t>UMES-GREENHOUSE</t>
  </si>
  <si>
    <t>GREEN HOUSE, BACKBONE HOUSE</t>
  </si>
  <si>
    <t>9008</t>
  </si>
  <si>
    <t>UMES-HAWKSLANDING</t>
  </si>
  <si>
    <t>UMES-HAWKSLANDIND1214</t>
  </si>
  <si>
    <t>HAWKS LANDING 1214, WILLIAM P HYCHE</t>
  </si>
  <si>
    <t>8994</t>
  </si>
  <si>
    <t>8998</t>
  </si>
  <si>
    <t>UMES-HAWKSLANDING1000</t>
  </si>
  <si>
    <t>HAWKS LANDING 1000, WILLIAM P HYCHE</t>
  </si>
  <si>
    <t>9001</t>
  </si>
  <si>
    <t>UMES-HAWKSLANDING1111</t>
  </si>
  <si>
    <t>HAWKS LANDING 1111, WILLIAM P HYCHE</t>
  </si>
  <si>
    <t>9002</t>
  </si>
  <si>
    <t>UMES-HAWKSLANDING1112</t>
  </si>
  <si>
    <t>HAWKS LANDING 1112, WILLIAM P HYCHE</t>
  </si>
  <si>
    <t>9003</t>
  </si>
  <si>
    <t>UMES-HAWKSLANDING1121</t>
  </si>
  <si>
    <t>HAWKS LANDING 1121, WILLIAM P HYCHE</t>
  </si>
  <si>
    <t>9004</t>
  </si>
  <si>
    <t>UMES-HAWKSLANDING1122</t>
  </si>
  <si>
    <t>HAWKS LANDING 1122, WILLIAM P HYCHE</t>
  </si>
  <si>
    <t>9005</t>
  </si>
  <si>
    <t>UMES-HAWKSLANDING1131</t>
  </si>
  <si>
    <t>HAWKS LANDING 1131, WILLIAM P HYCHE</t>
  </si>
  <si>
    <t>9006</t>
  </si>
  <si>
    <t>UMES-HAWKSLANDING1132</t>
  </si>
  <si>
    <t>HAWKS LANDING 1132, WILLIAM P HYCHE</t>
  </si>
  <si>
    <t>9000</t>
  </si>
  <si>
    <t>UMES-HAWKSLANDING1211</t>
  </si>
  <si>
    <t>HAWKS LANDING 1211, WILLIAM P HYCHE</t>
  </si>
  <si>
    <t>8999</t>
  </si>
  <si>
    <t>UMES-HAWKSLANDING1212</t>
  </si>
  <si>
    <t>HAWKS LANDING 1212, WILLIAM P HYCHE</t>
  </si>
  <si>
    <t>9007</t>
  </si>
  <si>
    <t>UMES-HAWKSLANDING1213</t>
  </si>
  <si>
    <t>HAWKS LANDING 1213, WILLIAM P HYCHE</t>
  </si>
  <si>
    <t>9009</t>
  </si>
  <si>
    <t>UMES-HAWKSLANDING1221</t>
  </si>
  <si>
    <t>HAWKS LANDING 1221, WILLIAM P HYCHE</t>
  </si>
  <si>
    <t>9010</t>
  </si>
  <si>
    <t>UMES-HAWKSLANDING1222</t>
  </si>
  <si>
    <t>HAWKS LANDING 1222, WILLIAM P HYCHE</t>
  </si>
  <si>
    <t>9011</t>
  </si>
  <si>
    <t>UMES-HAWKSLANDING1223</t>
  </si>
  <si>
    <t>HAWKS LANDING 1223, WILLIAM P HYCHE</t>
  </si>
  <si>
    <t>9012</t>
  </si>
  <si>
    <t>UMES-HAWKSLANDING1224</t>
  </si>
  <si>
    <t>HAWKS LANDING 1224, WILLIAM P HYCHE</t>
  </si>
  <si>
    <t>9013</t>
  </si>
  <si>
    <t>UMES-HAWKSLANDING1231</t>
  </si>
  <si>
    <t>HAWKS LANDING 1231, WILLIAM P HYCHE</t>
  </si>
  <si>
    <t>9015</t>
  </si>
  <si>
    <t>UMES-HAWKSLANDING1232</t>
  </si>
  <si>
    <t>HAWKS LANDING 1232, WILLIAM P HYCHE</t>
  </si>
  <si>
    <t>9014</t>
  </si>
  <si>
    <t>UMES-HAWKSLANDING1233</t>
  </si>
  <si>
    <t>HAWKS LANDING 1233, WILLIAM P HYCHE</t>
  </si>
  <si>
    <t>9016</t>
  </si>
  <si>
    <t>UMES-HAWKSLANDING1234</t>
  </si>
  <si>
    <t>HAWKS LANDING 1234, WILLIAM P HYCHE</t>
  </si>
  <si>
    <t>9033</t>
  </si>
  <si>
    <t>UMES-HAWKSLANDING1311</t>
  </si>
  <si>
    <t>HAWKS LANDING 1311, WILLIAM P HYCHE BLVD</t>
  </si>
  <si>
    <t>9017</t>
  </si>
  <si>
    <t>UMES-HAWKSLANDING1312</t>
  </si>
  <si>
    <t>HAWKS LANDING 1312, WILLIAM P HYCHE</t>
  </si>
  <si>
    <t>9018</t>
  </si>
  <si>
    <t>UMES-HAWKSLANDING1313</t>
  </si>
  <si>
    <t>HAWKS LANDING 1313, WILLIAM P HYCHE</t>
  </si>
  <si>
    <t>9041</t>
  </si>
  <si>
    <t>UMES-HAWKSLANDING1314</t>
  </si>
  <si>
    <t>HAWKS LANDING 1314, WILLIAM P HYCHE BLVD</t>
  </si>
  <si>
    <t>9019</t>
  </si>
  <si>
    <t>UMES-HAWKSLANDING1321</t>
  </si>
  <si>
    <t>HAWKS LANDING 1321, WILLIAM P HYCHE</t>
  </si>
  <si>
    <t>8995</t>
  </si>
  <si>
    <t>UMES-HAWKSLANDING1322</t>
  </si>
  <si>
    <t>HAWKS LANDING 1322,BACKBONE RD</t>
  </si>
  <si>
    <t>9034</t>
  </si>
  <si>
    <t>UMES-HAWKSLANDING1323</t>
  </si>
  <si>
    <t>HAWKS LANDING 1323, WILLIAM P HYCHE BLVD</t>
  </si>
  <si>
    <t>9035</t>
  </si>
  <si>
    <t>UMES-HAWKSLANDING1324</t>
  </si>
  <si>
    <t>HAWKS LANDING 1324, WILLIAM P HYCHE BLVD</t>
  </si>
  <si>
    <t>9036</t>
  </si>
  <si>
    <t>UMES-HAWKSLANDING1331</t>
  </si>
  <si>
    <t>HAWKS LANDING 1331, WILLIAM P HYCHE BLVD</t>
  </si>
  <si>
    <t>9037</t>
  </si>
  <si>
    <t>UMES-HAWKSLANDING1332</t>
  </si>
  <si>
    <t>HAWKS LANDING 1332, WILLIAM P HYCHE BLVD</t>
  </si>
  <si>
    <t>9038</t>
  </si>
  <si>
    <t>UMES-HAWKSLANDING1333</t>
  </si>
  <si>
    <t>HAWKS LANDING 1333, WILLIAM P HYCHE BLVD</t>
  </si>
  <si>
    <t>9039</t>
  </si>
  <si>
    <t>UMES-HAWKSLANDING1334</t>
  </si>
  <si>
    <t>HAWKS LANDING 1334, WILLIAM P HYCHE BLVD</t>
  </si>
  <si>
    <t>9040</t>
  </si>
  <si>
    <t>UMES-HAWKSLANDING1411</t>
  </si>
  <si>
    <t>HAWKS LANDING 1411, WILLIAM P HYCHE BLVD</t>
  </si>
  <si>
    <t>9020</t>
  </si>
  <si>
    <t>UMES-HAWKSLANDING1412</t>
  </si>
  <si>
    <t>HAWKS LANDING 1412, WILLIAM P HYCHE</t>
  </si>
  <si>
    <t>9021</t>
  </si>
  <si>
    <t>UMES-HAWKSLANDING1413</t>
  </si>
  <si>
    <t>HAWKS LANDING 1413, WILLIAM P HYCHE BLVD</t>
  </si>
  <si>
    <t>9028</t>
  </si>
  <si>
    <t>UMES-HAWKSLANDING1414</t>
  </si>
  <si>
    <t>HAWKS LANDING 1414, WILLIAM P HYCHE BLVD</t>
  </si>
  <si>
    <t>9027</t>
  </si>
  <si>
    <t>UMES-HAWKSLANDING1421</t>
  </si>
  <si>
    <t>HAWKS LANDING 1421, WILLIAM P HYCHE BLVD</t>
  </si>
  <si>
    <t>9022</t>
  </si>
  <si>
    <t>UMES-HAWKSLANDING1422</t>
  </si>
  <si>
    <t>HAWKS LANDING 1422, WILLIAM P HYCHE BLVD</t>
  </si>
  <si>
    <t>9023</t>
  </si>
  <si>
    <t>UMES-HAWKSLANDING1423</t>
  </si>
  <si>
    <t>HAWKS LANDING 1423, WILLIAM P HYCHE BLVD</t>
  </si>
  <si>
    <t>8996</t>
  </si>
  <si>
    <t>UMES-HAWKSLANDING1424</t>
  </si>
  <si>
    <t>HAWKS LANDING 1424, WILLIAM HYCHE BLVD</t>
  </si>
  <si>
    <t>9024</t>
  </si>
  <si>
    <t>UMES-HAWKSLANDING1431</t>
  </si>
  <si>
    <t>HAWKS LANDING 1431, WILLIAM P HYCHE BLVD</t>
  </si>
  <si>
    <t>9026</t>
  </si>
  <si>
    <t>UMES-HAWKSLANDING1432</t>
  </si>
  <si>
    <t>HAWKS LANDING 1432, WILLIAM P HYCHE BLVD</t>
  </si>
  <si>
    <t>9025</t>
  </si>
  <si>
    <t>UMES-HAWKSLANDING1433</t>
  </si>
  <si>
    <t>HAWKS LANDING 1433, WILLIAM P HYCHE BLVD</t>
  </si>
  <si>
    <t>9031</t>
  </si>
  <si>
    <t>UMES-HAWKSLANDING1434</t>
  </si>
  <si>
    <t>HAWKS LANDING 1434, WILLIAM P HYCHE BLVD</t>
  </si>
  <si>
    <t>9030</t>
  </si>
  <si>
    <t>UMES-HAWKSLANDING1512</t>
  </si>
  <si>
    <t>HAWKS LANDING 1512, WILLIAM P HYCHE BLVED</t>
  </si>
  <si>
    <t>8997</t>
  </si>
  <si>
    <t>UMES-HAWKSLANDING1522</t>
  </si>
  <si>
    <t>HAWKS LANDING 1522, WILLAIM P HYCHE BLVD</t>
  </si>
  <si>
    <t>9029</t>
  </si>
  <si>
    <t>UMES-HAWKSLANDING1531</t>
  </si>
  <si>
    <t>HAWKS LANDING 1531, WILLIAM P HYCHE BLVD</t>
  </si>
  <si>
    <t>9032</t>
  </si>
  <si>
    <t>UMES-HAWKSLANDING1532</t>
  </si>
  <si>
    <t>HAWKS LANDING 1532, WILLIAM P HYCHE BLVD</t>
  </si>
  <si>
    <t>9074</t>
  </si>
  <si>
    <t>UMES-HAZELHALL</t>
  </si>
  <si>
    <t>HAZEL HALL, BACKBONE ROAD</t>
  </si>
  <si>
    <t>9088</t>
  </si>
  <si>
    <t>UMES-HENSON</t>
  </si>
  <si>
    <t>9077</t>
  </si>
  <si>
    <t>UMES-HENSONCENTER</t>
  </si>
  <si>
    <t>HENSON CENTER, BACKBONE ROAD</t>
  </si>
  <si>
    <t>9057</t>
  </si>
  <si>
    <t>UMES-HOUSE12116BACKBO</t>
  </si>
  <si>
    <t>HOUSE 12116 BACKBONE ROAD, BACKBONE ROAD</t>
  </si>
  <si>
    <t>9091</t>
  </si>
  <si>
    <t>UMES-HYCHE</t>
  </si>
  <si>
    <t>9058</t>
  </si>
  <si>
    <t>UMES-IRRAGATIONPUMP</t>
  </si>
  <si>
    <t>1 IRRIGATION PUMP, BACKBONE ROAD</t>
  </si>
  <si>
    <t>9070</t>
  </si>
  <si>
    <t>UMES-KIAHHALL</t>
  </si>
  <si>
    <t>KIAH HALL, BACKBONE ROAD</t>
  </si>
  <si>
    <t>9079</t>
  </si>
  <si>
    <t>UMES-LANDRYROOM</t>
  </si>
  <si>
    <t>9052</t>
  </si>
  <si>
    <t>UMES-MAINACCOUNT</t>
  </si>
  <si>
    <t>MAIN ACCOUNT, BACKBONE ROAD</t>
  </si>
  <si>
    <t>9056</t>
  </si>
  <si>
    <t>UMES-MARKMANFARMGARAG</t>
  </si>
  <si>
    <t>9055</t>
  </si>
  <si>
    <t>UMES-MARKSMANFARMOFFI</t>
  </si>
  <si>
    <t>MARKSMAN FARM OFFICE, BACKBONE ROAD</t>
  </si>
  <si>
    <t>9072</t>
  </si>
  <si>
    <t>UMES-PHYSICALPLANT</t>
  </si>
  <si>
    <t>PHYSICAL PLANT, BACKBONE ROAD</t>
  </si>
  <si>
    <t>9049</t>
  </si>
  <si>
    <t>UMES-POSTOFFICEROAD31</t>
  </si>
  <si>
    <t>POST OFFICE ROAD 31044, 31044 POST OFFICE RD</t>
  </si>
  <si>
    <t>9061</t>
  </si>
  <si>
    <t>UMES-POULTRYBLD</t>
  </si>
  <si>
    <t>POULTRY BLD, BACKBONE ROAD</t>
  </si>
  <si>
    <t>9095</t>
  </si>
  <si>
    <t>UMES-PRESIDENTSHOUSE</t>
  </si>
  <si>
    <t>PRESIDENTS HOUSE, BACKBONE ROAD</t>
  </si>
  <si>
    <t>9083</t>
  </si>
  <si>
    <t>UMES-SDC</t>
  </si>
  <si>
    <t>SDC, BACKBONE ROAD</t>
  </si>
  <si>
    <t>9090</t>
  </si>
  <si>
    <t>UMES-SSC</t>
  </si>
  <si>
    <t>SSC, BACKBONE ROAD</t>
  </si>
  <si>
    <t>9053</t>
  </si>
  <si>
    <t>UMES-STREETLIGHT</t>
  </si>
  <si>
    <t>STREET LIGHT, BACKBONE ROAD</t>
  </si>
  <si>
    <t>9073</t>
  </si>
  <si>
    <t>UMES-STUDENTCENTER</t>
  </si>
  <si>
    <t>STUDENT CENTER, BACKBONE ROAD</t>
  </si>
  <si>
    <t>9092</t>
  </si>
  <si>
    <t>UMES-STUDENTRADIOSTAT</t>
  </si>
  <si>
    <t>STUDENT RADIO STATION, BACKBONE ROAD</t>
  </si>
  <si>
    <t>9063</t>
  </si>
  <si>
    <t>UMES-SWINE</t>
  </si>
  <si>
    <t>SWINE, BACKBONE ROAD</t>
  </si>
  <si>
    <t>9043</t>
  </si>
  <si>
    <t>UMES-TOMNICHOLSROAD</t>
  </si>
  <si>
    <t>9045</t>
  </si>
  <si>
    <t>UMES-TOMNICHOLSROAD11</t>
  </si>
  <si>
    <t>1 TOM NICHOLS RD 11850, TOM NICHOLS ROAD</t>
  </si>
  <si>
    <t>9046</t>
  </si>
  <si>
    <t>UMES-TOMNICOLSROAD118</t>
  </si>
  <si>
    <t>2 TOM NICHOLS ROAD 11850, TOM NICHOLS ROAD</t>
  </si>
  <si>
    <t>21853</t>
  </si>
  <si>
    <t>218535</t>
  </si>
  <si>
    <t>10418</t>
  </si>
  <si>
    <t>06/01/2000</t>
  </si>
  <si>
    <t>37250</t>
  </si>
  <si>
    <t>71989</t>
  </si>
  <si>
    <t>122000</t>
  </si>
  <si>
    <t>50492</t>
  </si>
  <si>
    <t>3830</t>
  </si>
  <si>
    <t>66345</t>
  </si>
  <si>
    <t>4083</t>
  </si>
  <si>
    <t>11000</t>
  </si>
  <si>
    <t>6410</t>
  </si>
  <si>
    <t>661</t>
  </si>
  <si>
    <t>1796344</t>
  </si>
  <si>
    <t>113265</t>
  </si>
  <si>
    <t>60062</t>
  </si>
  <si>
    <t>115000</t>
  </si>
  <si>
    <t>35934</t>
  </si>
  <si>
    <t>1920</t>
  </si>
  <si>
    <t>2919</t>
  </si>
  <si>
    <t>49725</t>
  </si>
  <si>
    <t>2998</t>
  </si>
  <si>
    <t>44364</t>
  </si>
  <si>
    <t>152172</t>
  </si>
  <si>
    <t>1378</t>
  </si>
  <si>
    <t>12080</t>
  </si>
  <si>
    <t>Food Science  &amp; Tech Ctr, Backbone Rd</t>
  </si>
  <si>
    <t xml:space="preserve">University Terrace </t>
  </si>
  <si>
    <t xml:space="preserve">No Change </t>
  </si>
  <si>
    <t xml:space="preserve">P. Hytche Athletic Center </t>
  </si>
  <si>
    <t xml:space="preserve">This is Fuel Source not a building </t>
  </si>
  <si>
    <t xml:space="preserve">Demolished </t>
  </si>
  <si>
    <t xml:space="preserve">No change </t>
  </si>
  <si>
    <t xml:space="preserve">Coastal Ecology </t>
  </si>
  <si>
    <t xml:space="preserve">Building </t>
  </si>
  <si>
    <t xml:space="preserve">To be demolished </t>
  </si>
  <si>
    <t>LAUNDRY ROOM, BACKBONE ROAD</t>
  </si>
  <si>
    <t>The Campus Main Account</t>
  </si>
  <si>
    <t>`</t>
  </si>
  <si>
    <t>Not in Use</t>
  </si>
  <si>
    <t>Owned</t>
  </si>
  <si>
    <t>owned</t>
  </si>
  <si>
    <t>Demolished</t>
  </si>
  <si>
    <t xml:space="preserve">55003385337 (Central) - U Of Md Eastern Shore - </t>
  </si>
  <si>
    <t xml:space="preserve">990899300 - 11802 MARSH VIEW LN. - </t>
  </si>
  <si>
    <t xml:space="preserve">1886102 - GreenHouse - </t>
  </si>
  <si>
    <t xml:space="preserve">665298800 - BACKBONE RD. IRRIGATION PUMP - </t>
  </si>
  <si>
    <t xml:space="preserve">1445300 - MARKSMAN FARM OFFICE - </t>
  </si>
  <si>
    <t xml:space="preserve">55009362223 - College Backbone Rd - </t>
  </si>
  <si>
    <t xml:space="preserve">55003538745 - 11850 Tom Nichols Rd - </t>
  </si>
  <si>
    <t xml:space="preserve">55007381340 - 11811 Tom Nichols Rd - </t>
  </si>
  <si>
    <t>Agric Building</t>
  </si>
  <si>
    <t>Chicken House</t>
  </si>
  <si>
    <t xml:space="preserve">55007427077 - 30578 Broad St - </t>
  </si>
  <si>
    <t xml:space="preserve">55007450400 - 30578 Broad St - </t>
  </si>
  <si>
    <t xml:space="preserve">55007380797 - 30578 Broad St - </t>
  </si>
  <si>
    <t xml:space="preserve">55007402112 - 30578 Broad St - </t>
  </si>
  <si>
    <t>48272</t>
  </si>
  <si>
    <t>30578 DR WILLIAM P HYTCHE, PRINCESS ANNE</t>
  </si>
  <si>
    <t>11868 COLLEGE BACKBONE RD, PRINCESS ANNE</t>
  </si>
  <si>
    <t>31044 W POST OFFICE RD, PRINCESS ANNE</t>
  </si>
  <si>
    <t>11850 TOM NICHOLS RD, PRINCESS ANNE</t>
  </si>
  <si>
    <t>DEMOLISHED</t>
  </si>
  <si>
    <t>THOMAS/BRIGGS</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</si>
</sst>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0"/>
      <color theme="1"/>
      <name val="Tahoma"/>
      <family val="2"/>
    </font>
    <font>
      <sz val="11"/>
      <color theme="1"/>
      <name val="Tahoma"/>
      <family val="2"/>
    </font>
    <font>
      <i/>
      <sz val="9"/>
      <color theme="1"/>
      <name val="Tahoma"/>
      <family val="2"/>
    </font>
    <font>
      <b/>
      <sz val="11"/>
      <color theme="1"/>
      <name val="Calibri"/>
      <family val="2"/>
      <scheme val="minor"/>
    </font>
    <font>
      <sz val="12"/>
      <color rgb="FF000000"/>
      <name val="Arial"/>
      <family val="2"/>
    </font>
    <font>
      <b/>
      <sz val="12"/>
      <color rgb="FF000000"/>
      <name val="Arial"/>
      <family val="2"/>
    </font>
    <font>
      <sz val="12"/>
      <color theme="1"/>
      <name val="Arial"/>
      <family val="2"/>
    </font>
    <font>
      <b/>
      <sz val="10"/>
      <name val="Tahoma"/>
      <family val="2"/>
    </font>
    <font>
      <b/>
      <sz val="12"/>
      <color theme="1"/>
      <name val="Arial"/>
      <family val="2"/>
    </font>
    <font>
      <b/>
      <sz val="12"/>
      <color rgb="FF222222"/>
      <name val="Arial"/>
      <family val="2"/>
    </font>
    <font>
      <sz val="12"/>
      <color rgb="FF222222"/>
      <name val="Arial"/>
      <family val="2"/>
    </font>
    <font>
      <i/>
      <sz val="10"/>
      <name val="Tahoma"/>
      <family val="2"/>
    </font>
    <font>
      <b/>
      <i/>
      <sz val="10"/>
      <name val="Tahoma"/>
      <family val="2"/>
    </font>
    <font>
      <i/>
      <sz val="9"/>
      <name val="Tahoma"/>
      <family val="2"/>
    </font>
    <font>
      <sz val="10"/>
      <name val="Tahoma"/>
      <family val="2"/>
    </font>
    <font>
      <sz val="11"/>
      <name val="Tahoma"/>
      <family val="2"/>
    </font>
    <font>
      <sz val="11"/>
      <name val="Calibri"/>
      <family val="2"/>
      <scheme val="minor"/>
    </font>
    <font>
      <sz val="5"/>
      <color rgb="FF222222"/>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theme="8" tint="0.79998168889431442"/>
        <bgColor indexed="64"/>
      </patternFill>
    </fill>
    <fill>
      <patternFill patternType="solid">
        <fgColor rgb="FFFFFF00"/>
        <bgColor indexed="64"/>
      </patternFill>
    </fill>
    <fill>
      <patternFill patternType="solid">
        <fgColor rgb="FFC00000"/>
        <bgColor indexed="64"/>
      </patternFill>
    </fill>
  </fills>
  <borders count="34">
    <border>
      <left/>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style="double">
        <color indexed="64"/>
      </left>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double">
        <color indexed="64"/>
      </top>
      <bottom/>
      <diagonal/>
    </border>
    <border>
      <left style="thin">
        <color indexed="64"/>
      </left>
      <right style="thin">
        <color indexed="64"/>
      </right>
      <top style="double">
        <color theme="6" tint="-0.24973296304208503"/>
      </top>
      <bottom/>
      <diagonal/>
    </border>
  </borders>
  <cellStyleXfs count="1">
    <xf numFmtId="0" fontId="0" fillId="0" borderId="0"/>
  </cellStyleXfs>
  <cellXfs count="147">
    <xf numFmtId="0" fontId="0" fillId="0" borderId="0" xfId="0"/>
    <xf numFmtId="49" fontId="0" fillId="2" borderId="1" xfId="0" applyNumberFormat="1" applyFill="1" applyBorder="1" applyAlignment="1" applyProtection="1">
      <alignment horizontal="right"/>
    </xf>
    <xf numFmtId="49" fontId="0" fillId="0" borderId="0" xfId="0" applyNumberFormat="1" applyAlignment="1" applyProtection="1">
      <alignment horizontal="right"/>
      <protection locked="0"/>
    </xf>
    <xf numFmtId="49" fontId="0" fillId="0" borderId="1" xfId="0" applyNumberFormat="1" applyBorder="1" applyAlignment="1" applyProtection="1">
      <alignment horizontal="right"/>
      <protection locked="0"/>
    </xf>
    <xf numFmtId="14" fontId="0" fillId="2" borderId="1" xfId="0" applyNumberFormat="1" applyFill="1" applyBorder="1" applyAlignment="1" applyProtection="1">
      <alignment horizontal="right"/>
    </xf>
    <xf numFmtId="49" fontId="0" fillId="0" borderId="0" xfId="0" applyNumberFormat="1"/>
    <xf numFmtId="14" fontId="0" fillId="0" borderId="1" xfId="0" applyNumberFormat="1" applyBorder="1" applyAlignment="1" applyProtection="1">
      <alignment horizontal="right"/>
      <protection locked="0"/>
    </xf>
    <xf numFmtId="49" fontId="2" fillId="0" borderId="0" xfId="0" applyNumberFormat="1" applyFont="1" applyAlignment="1" applyProtection="1">
      <alignment horizontal="center"/>
      <protection locked="0"/>
    </xf>
    <xf numFmtId="49" fontId="1" fillId="0" borderId="0" xfId="0" applyNumberFormat="1" applyFont="1" applyAlignment="1" applyProtection="1">
      <alignment horizontal="center"/>
      <protection locked="0"/>
    </xf>
    <xf numFmtId="49" fontId="3" fillId="0" borderId="0" xfId="0" applyNumberFormat="1" applyFont="1" applyAlignment="1" applyProtection="1">
      <alignment horizontal="right"/>
      <protection locked="0"/>
    </xf>
    <xf numFmtId="49" fontId="0" fillId="0" borderId="0" xfId="0" applyNumberFormat="1" applyBorder="1" applyAlignment="1" applyProtection="1">
      <alignment horizontal="right"/>
      <protection locked="0"/>
    </xf>
    <xf numFmtId="0" fontId="0" fillId="0" borderId="0" xfId="0" applyAlignment="1">
      <alignment wrapText="1"/>
    </xf>
    <xf numFmtId="0" fontId="0" fillId="0" borderId="0" xfId="0" applyAlignment="1"/>
    <xf numFmtId="0" fontId="4" fillId="0" borderId="0" xfId="0" applyFont="1" applyAlignment="1"/>
    <xf numFmtId="0" fontId="0" fillId="0" borderId="3" xfId="0" applyBorder="1"/>
    <xf numFmtId="0" fontId="0" fillId="0" borderId="0" xfId="0" applyBorder="1"/>
    <xf numFmtId="49" fontId="0" fillId="0" borderId="0" xfId="0" applyNumberFormat="1" applyFill="1" applyAlignment="1" applyProtection="1">
      <alignment horizontal="right"/>
      <protection locked="0"/>
    </xf>
    <xf numFmtId="0" fontId="4" fillId="0" borderId="6" xfId="0" applyFont="1" applyBorder="1"/>
    <xf numFmtId="0" fontId="0" fillId="0" borderId="5" xfId="0" applyBorder="1"/>
    <xf numFmtId="0" fontId="7" fillId="0" borderId="0" xfId="0" applyFont="1" applyBorder="1" applyAlignment="1">
      <alignment vertical="center" wrapText="1"/>
    </xf>
    <xf numFmtId="49" fontId="0" fillId="0" borderId="1" xfId="0" applyNumberFormat="1" applyFill="1" applyBorder="1" applyAlignment="1" applyProtection="1">
      <alignment horizontal="right"/>
      <protection locked="0"/>
    </xf>
    <xf numFmtId="49" fontId="8" fillId="5" borderId="1" xfId="0" applyNumberFormat="1" applyFont="1" applyFill="1" applyBorder="1" applyAlignment="1">
      <alignment horizontal="center" vertical="center" wrapText="1"/>
    </xf>
    <xf numFmtId="49" fontId="0" fillId="2" borderId="2" xfId="0" applyNumberFormat="1" applyFill="1" applyBorder="1" applyAlignment="1" applyProtection="1">
      <alignment wrapText="1"/>
    </xf>
    <xf numFmtId="49" fontId="0" fillId="0" borderId="0" xfId="0" applyNumberFormat="1" applyFill="1" applyBorder="1" applyAlignment="1" applyProtection="1">
      <alignment horizontal="right"/>
      <protection locked="0"/>
    </xf>
    <xf numFmtId="49" fontId="2" fillId="0" borderId="0" xfId="0" applyNumberFormat="1" applyFont="1" applyBorder="1" applyAlignment="1" applyProtection="1">
      <alignment horizontal="center"/>
      <protection locked="0"/>
    </xf>
    <xf numFmtId="49" fontId="0" fillId="0" borderId="0" xfId="0" applyNumberFormat="1" applyFill="1" applyBorder="1" applyAlignment="1" applyProtection="1">
      <alignment horizontal="right" wrapText="1"/>
      <protection locked="0"/>
    </xf>
    <xf numFmtId="49" fontId="8" fillId="5" borderId="8" xfId="0" applyNumberFormat="1" applyFont="1" applyFill="1" applyBorder="1" applyAlignment="1">
      <alignment horizontal="center" vertical="center" wrapText="1"/>
    </xf>
    <xf numFmtId="49" fontId="8" fillId="3" borderId="8" xfId="0" applyNumberFormat="1" applyFont="1" applyFill="1" applyBorder="1" applyAlignment="1">
      <alignment horizontal="center" vertical="center" wrapText="1"/>
    </xf>
    <xf numFmtId="49" fontId="8" fillId="4" borderId="8" xfId="0" applyNumberFormat="1" applyFont="1" applyFill="1" applyBorder="1" applyAlignment="1">
      <alignment horizontal="center" vertical="center" wrapText="1"/>
    </xf>
    <xf numFmtId="49" fontId="0" fillId="0" borderId="0" xfId="0" applyNumberFormat="1" applyFill="1" applyBorder="1" applyAlignment="1" applyProtection="1">
      <alignment horizontal="right"/>
    </xf>
    <xf numFmtId="49" fontId="1" fillId="0" borderId="0" xfId="0" applyNumberFormat="1" applyFont="1" applyBorder="1" applyAlignment="1" applyProtection="1">
      <alignment horizontal="center"/>
      <protection locked="0"/>
    </xf>
    <xf numFmtId="49" fontId="3" fillId="0" borderId="0" xfId="0" applyNumberFormat="1" applyFont="1" applyBorder="1" applyAlignment="1" applyProtection="1">
      <alignment horizontal="right"/>
      <protection locked="0"/>
    </xf>
    <xf numFmtId="0" fontId="7" fillId="0" borderId="0" xfId="0" applyFont="1" applyBorder="1" applyAlignment="1">
      <alignment vertical="top" wrapText="1"/>
    </xf>
    <xf numFmtId="0" fontId="0" fillId="0" borderId="4" xfId="0" applyFill="1" applyBorder="1" applyAlignment="1"/>
    <xf numFmtId="0" fontId="0" fillId="0" borderId="4" xfId="0" applyBorder="1" applyAlignment="1"/>
    <xf numFmtId="0" fontId="5" fillId="0" borderId="19" xfId="0" applyFont="1" applyBorder="1" applyAlignment="1">
      <alignment vertical="top" wrapText="1"/>
    </xf>
    <xf numFmtId="0" fontId="6" fillId="0" borderId="4" xfId="0" applyFont="1" applyBorder="1" applyAlignment="1"/>
    <xf numFmtId="0" fontId="7" fillId="0" borderId="4" xfId="0" applyFont="1" applyBorder="1"/>
    <xf numFmtId="0" fontId="7" fillId="0" borderId="4" xfId="0" applyFont="1" applyBorder="1" applyAlignment="1">
      <alignment wrapText="1"/>
    </xf>
    <xf numFmtId="49" fontId="8" fillId="5" borderId="9" xfId="0" applyNumberFormat="1" applyFont="1" applyFill="1" applyBorder="1" applyAlignment="1">
      <alignment horizontal="center" vertical="center" wrapText="1"/>
    </xf>
    <xf numFmtId="49" fontId="0" fillId="0" borderId="2" xfId="0" applyNumberFormat="1" applyBorder="1" applyAlignment="1" applyProtection="1">
      <alignment horizontal="right"/>
      <protection locked="0"/>
    </xf>
    <xf numFmtId="49" fontId="0" fillId="0" borderId="20" xfId="0" applyNumberFormat="1" applyBorder="1" applyAlignment="1" applyProtection="1">
      <alignment horizontal="right"/>
      <protection locked="0"/>
    </xf>
    <xf numFmtId="49" fontId="0" fillId="0" borderId="20" xfId="0" applyNumberFormat="1" applyFill="1" applyBorder="1" applyAlignment="1" applyProtection="1">
      <alignment horizontal="right"/>
      <protection locked="0"/>
    </xf>
    <xf numFmtId="0" fontId="0" fillId="0" borderId="0" xfId="0" applyFill="1" applyBorder="1"/>
    <xf numFmtId="0" fontId="0" fillId="0" borderId="4" xfId="0" applyBorder="1"/>
    <xf numFmtId="0" fontId="0" fillId="0" borderId="4" xfId="0" applyFill="1" applyBorder="1"/>
    <xf numFmtId="0" fontId="4" fillId="0" borderId="21" xfId="0" applyFont="1" applyBorder="1"/>
    <xf numFmtId="0" fontId="4" fillId="0" borderId="21" xfId="0" applyFont="1" applyFill="1" applyBorder="1"/>
    <xf numFmtId="0" fontId="0" fillId="0" borderId="0" xfId="0" applyFill="1" applyAlignment="1"/>
    <xf numFmtId="0" fontId="0" fillId="0" borderId="0" xfId="0" applyFill="1" applyBorder="1" applyAlignment="1"/>
    <xf numFmtId="0" fontId="6" fillId="0" borderId="0" xfId="0" applyFont="1" applyFill="1" applyBorder="1" applyAlignment="1">
      <alignment vertical="top"/>
    </xf>
    <xf numFmtId="0" fontId="7" fillId="0" borderId="0" xfId="0" applyFont="1" applyFill="1" applyBorder="1" applyAlignment="1">
      <alignment wrapText="1"/>
    </xf>
    <xf numFmtId="0" fontId="4" fillId="0" borderId="24" xfId="0" applyFont="1" applyFill="1" applyBorder="1"/>
    <xf numFmtId="0" fontId="0" fillId="0" borderId="23" xfId="0" applyFill="1" applyBorder="1"/>
    <xf numFmtId="0" fontId="4" fillId="0" borderId="0" xfId="0" applyFont="1" applyFill="1" applyBorder="1"/>
    <xf numFmtId="0" fontId="0" fillId="0" borderId="11" xfId="0" applyBorder="1"/>
    <xf numFmtId="0" fontId="0" fillId="0" borderId="11" xfId="0" applyFill="1" applyBorder="1"/>
    <xf numFmtId="0" fontId="0" fillId="0" borderId="26" xfId="0" applyFill="1" applyBorder="1"/>
    <xf numFmtId="0" fontId="0" fillId="0" borderId="23" xfId="0" applyBorder="1" applyAlignment="1"/>
    <xf numFmtId="0" fontId="4" fillId="0" borderId="29" xfId="0" applyFont="1" applyFill="1" applyBorder="1" applyAlignment="1"/>
    <xf numFmtId="0" fontId="4" fillId="0" borderId="16" xfId="0" applyFont="1" applyBorder="1" applyAlignment="1"/>
    <xf numFmtId="0" fontId="4" fillId="0" borderId="16" xfId="0" applyFont="1" applyFill="1" applyBorder="1" applyAlignment="1"/>
    <xf numFmtId="0" fontId="4" fillId="0" borderId="25" xfId="0" applyFont="1" applyFill="1" applyBorder="1"/>
    <xf numFmtId="0" fontId="0" fillId="0" borderId="22" xfId="0" applyFill="1" applyBorder="1"/>
    <xf numFmtId="0" fontId="0" fillId="0" borderId="5" xfId="0" applyBorder="1" applyAlignment="1">
      <alignment wrapText="1"/>
    </xf>
    <xf numFmtId="0" fontId="0" fillId="0" borderId="30" xfId="0" applyBorder="1"/>
    <xf numFmtId="0" fontId="0" fillId="0" borderId="31" xfId="0" applyBorder="1" applyAlignment="1">
      <alignment wrapText="1"/>
    </xf>
    <xf numFmtId="0" fontId="4" fillId="0" borderId="11" xfId="0" applyFont="1" applyBorder="1"/>
    <xf numFmtId="0" fontId="4" fillId="0" borderId="23" xfId="0" applyFont="1" applyBorder="1" applyAlignment="1">
      <alignment vertical="top"/>
    </xf>
    <xf numFmtId="0" fontId="4" fillId="0" borderId="22" xfId="0" applyFont="1" applyBorder="1" applyAlignment="1">
      <alignment vertical="top" wrapText="1"/>
    </xf>
    <xf numFmtId="0" fontId="4" fillId="0" borderId="26" xfId="0" applyFont="1" applyBorder="1" applyAlignment="1">
      <alignment vertical="top"/>
    </xf>
    <xf numFmtId="0" fontId="4" fillId="0" borderId="6" xfId="0" applyFont="1" applyBorder="1" applyAlignment="1">
      <alignment horizontal="left" vertical="top" wrapText="1"/>
    </xf>
    <xf numFmtId="0" fontId="9" fillId="0" borderId="4" xfId="0" applyFont="1" applyBorder="1" applyAlignment="1">
      <alignment vertical="center" wrapText="1"/>
    </xf>
    <xf numFmtId="0" fontId="7" fillId="0" borderId="11" xfId="0" applyNumberFormat="1" applyFont="1" applyBorder="1"/>
    <xf numFmtId="0" fontId="7" fillId="0" borderId="26" xfId="0" applyNumberFormat="1" applyFont="1" applyBorder="1"/>
    <xf numFmtId="0" fontId="10" fillId="0" borderId="27" xfId="0" applyNumberFormat="1" applyFont="1" applyBorder="1" applyAlignment="1">
      <alignment vertical="center"/>
    </xf>
    <xf numFmtId="0" fontId="7" fillId="0" borderId="0" xfId="0" applyNumberFormat="1" applyFont="1" applyBorder="1"/>
    <xf numFmtId="0" fontId="7" fillId="0" borderId="28" xfId="0" applyNumberFormat="1" applyFont="1" applyBorder="1"/>
    <xf numFmtId="0" fontId="7" fillId="0" borderId="27" xfId="0" applyNumberFormat="1" applyFont="1" applyBorder="1"/>
    <xf numFmtId="0" fontId="11" fillId="0" borderId="27" xfId="0" applyNumberFormat="1" applyFont="1" applyBorder="1" applyAlignment="1">
      <alignment vertical="center"/>
    </xf>
    <xf numFmtId="0" fontId="9" fillId="0" borderId="27" xfId="0" applyNumberFormat="1" applyFont="1" applyBorder="1"/>
    <xf numFmtId="0" fontId="11" fillId="0" borderId="27" xfId="0" applyNumberFormat="1" applyFont="1" applyBorder="1"/>
    <xf numFmtId="0" fontId="7" fillId="0" borderId="12" xfId="0" applyNumberFormat="1" applyFont="1" applyBorder="1"/>
    <xf numFmtId="0" fontId="7" fillId="0" borderId="24" xfId="0" applyNumberFormat="1" applyFont="1" applyBorder="1"/>
    <xf numFmtId="0" fontId="0" fillId="0" borderId="22" xfId="0" applyNumberFormat="1" applyFill="1" applyBorder="1"/>
    <xf numFmtId="49" fontId="8" fillId="5" borderId="32" xfId="0" applyNumberFormat="1" applyFont="1" applyFill="1" applyBorder="1" applyAlignment="1">
      <alignment horizontal="center" vertical="center" wrapText="1"/>
    </xf>
    <xf numFmtId="49" fontId="8" fillId="0" borderId="7" xfId="0" applyNumberFormat="1" applyFont="1" applyBorder="1" applyAlignment="1" applyProtection="1">
      <alignment horizontal="center" vertical="center"/>
      <protection locked="0"/>
    </xf>
    <xf numFmtId="49" fontId="8" fillId="2" borderId="8" xfId="0" applyNumberFormat="1" applyFont="1" applyFill="1" applyBorder="1" applyAlignment="1" applyProtection="1">
      <alignment horizontal="center" vertical="center"/>
    </xf>
    <xf numFmtId="49" fontId="8" fillId="5" borderId="9" xfId="0" applyNumberFormat="1" applyFont="1" applyFill="1" applyBorder="1" applyAlignment="1" applyProtection="1">
      <alignment horizontal="center" vertical="center" wrapText="1"/>
    </xf>
    <xf numFmtId="49" fontId="8" fillId="5" borderId="8" xfId="0" applyNumberFormat="1" applyFont="1" applyFill="1" applyBorder="1" applyAlignment="1" applyProtection="1">
      <alignment horizontal="center" vertical="center"/>
      <protection locked="0"/>
    </xf>
    <xf numFmtId="49" fontId="8" fillId="5" borderId="10" xfId="0" applyNumberFormat="1" applyFont="1" applyFill="1" applyBorder="1" applyAlignment="1" applyProtection="1">
      <alignment horizontal="center" vertical="center" wrapText="1"/>
      <protection locked="0"/>
    </xf>
    <xf numFmtId="49" fontId="12" fillId="0" borderId="13" xfId="0" applyNumberFormat="1" applyFont="1" applyBorder="1" applyAlignment="1" applyProtection="1">
      <alignment horizontal="center" vertical="center" wrapText="1"/>
      <protection locked="0"/>
    </xf>
    <xf numFmtId="49" fontId="12" fillId="2" borderId="15" xfId="0" applyNumberFormat="1" applyFont="1" applyFill="1" applyBorder="1" applyAlignment="1" applyProtection="1">
      <alignment horizontal="center" vertical="center" wrapText="1"/>
    </xf>
    <xf numFmtId="49" fontId="12" fillId="0" borderId="11" xfId="0" applyNumberFormat="1" applyFont="1" applyBorder="1" applyAlignment="1" applyProtection="1">
      <alignment horizontal="center" vertical="center" wrapText="1"/>
      <protection locked="0"/>
    </xf>
    <xf numFmtId="49" fontId="12" fillId="0" borderId="15" xfId="0" applyNumberFormat="1" applyFont="1" applyBorder="1" applyAlignment="1" applyProtection="1">
      <alignment horizontal="center" vertical="center" wrapText="1"/>
      <protection locked="0"/>
    </xf>
    <xf numFmtId="49" fontId="13" fillId="0" borderId="11" xfId="0" applyNumberFormat="1" applyFont="1" applyBorder="1" applyAlignment="1" applyProtection="1">
      <alignment horizontal="center" vertical="center" wrapText="1"/>
      <protection locked="0"/>
    </xf>
    <xf numFmtId="49" fontId="12" fillId="2" borderId="11" xfId="0" applyNumberFormat="1" applyFont="1" applyFill="1" applyBorder="1" applyAlignment="1" applyProtection="1">
      <alignment horizontal="center" vertical="center" wrapText="1"/>
    </xf>
    <xf numFmtId="49" fontId="14" fillId="2" borderId="17" xfId="0" applyNumberFormat="1" applyFont="1" applyFill="1" applyBorder="1" applyAlignment="1" applyProtection="1">
      <alignment vertical="center" wrapText="1"/>
    </xf>
    <xf numFmtId="49" fontId="14" fillId="0" borderId="15" xfId="0" applyNumberFormat="1" applyFont="1" applyBorder="1" applyAlignment="1" applyProtection="1">
      <alignment horizontal="center" vertical="center" wrapText="1"/>
      <protection locked="0"/>
    </xf>
    <xf numFmtId="49" fontId="14" fillId="0" borderId="11" xfId="0" applyNumberFormat="1" applyFont="1" applyBorder="1" applyAlignment="1" applyProtection="1">
      <alignment horizontal="center" vertical="center" wrapText="1"/>
      <protection locked="0"/>
    </xf>
    <xf numFmtId="49" fontId="12" fillId="0" borderId="15" xfId="0" applyNumberFormat="1" applyFont="1" applyFill="1" applyBorder="1" applyAlignment="1" applyProtection="1">
      <alignment horizontal="center" vertical="center" wrapText="1"/>
    </xf>
    <xf numFmtId="14" fontId="12" fillId="2" borderId="15" xfId="0" applyNumberFormat="1" applyFont="1" applyFill="1" applyBorder="1" applyAlignment="1" applyProtection="1">
      <alignment horizontal="center" vertical="center" wrapText="1"/>
    </xf>
    <xf numFmtId="14" fontId="12" fillId="0" borderId="15" xfId="0" applyNumberFormat="1" applyFont="1" applyBorder="1" applyAlignment="1" applyProtection="1">
      <alignment horizontal="center" vertical="center" wrapText="1"/>
      <protection locked="0"/>
    </xf>
    <xf numFmtId="49" fontId="12" fillId="0" borderId="17" xfId="0" applyNumberFormat="1" applyFont="1" applyBorder="1" applyAlignment="1" applyProtection="1">
      <alignment horizontal="center" vertical="center" wrapText="1"/>
      <protection locked="0"/>
    </xf>
    <xf numFmtId="49" fontId="14" fillId="0" borderId="6" xfId="0" applyNumberFormat="1" applyFont="1" applyBorder="1" applyAlignment="1" applyProtection="1">
      <alignment horizontal="right"/>
      <protection locked="0"/>
    </xf>
    <xf numFmtId="49" fontId="15" fillId="0" borderId="14" xfId="0" applyNumberFormat="1" applyFont="1" applyBorder="1" applyAlignment="1" applyProtection="1">
      <alignment horizontal="center" vertical="center"/>
      <protection locked="0"/>
    </xf>
    <xf numFmtId="49" fontId="15" fillId="2" borderId="16" xfId="0" applyNumberFormat="1" applyFont="1" applyFill="1" applyBorder="1" applyAlignment="1" applyProtection="1">
      <alignment horizontal="center" vertical="center"/>
    </xf>
    <xf numFmtId="49" fontId="15" fillId="0" borderId="12" xfId="0" applyNumberFormat="1" applyFont="1" applyBorder="1" applyAlignment="1" applyProtection="1">
      <alignment horizontal="center" vertical="center"/>
      <protection locked="0"/>
    </xf>
    <xf numFmtId="49" fontId="15" fillId="0" borderId="16" xfId="0" applyNumberFormat="1" applyFont="1" applyBorder="1" applyAlignment="1" applyProtection="1">
      <alignment horizontal="center" vertical="center"/>
      <protection locked="0"/>
    </xf>
    <xf numFmtId="49" fontId="15" fillId="2" borderId="12" xfId="0" applyNumberFormat="1" applyFont="1" applyFill="1" applyBorder="1" applyAlignment="1" applyProtection="1">
      <alignment horizontal="center" vertical="center"/>
    </xf>
    <xf numFmtId="49" fontId="15" fillId="2" borderId="18" xfId="0" applyNumberFormat="1" applyFont="1" applyFill="1" applyBorder="1" applyAlignment="1" applyProtection="1">
      <alignment horizontal="center" wrapText="1"/>
    </xf>
    <xf numFmtId="49" fontId="15" fillId="0" borderId="16" xfId="0" applyNumberFormat="1" applyFont="1" applyBorder="1" applyAlignment="1" applyProtection="1">
      <alignment horizontal="center"/>
      <protection locked="0"/>
    </xf>
    <xf numFmtId="49" fontId="16" fillId="0" borderId="12" xfId="0" applyNumberFormat="1" applyFont="1" applyBorder="1" applyAlignment="1" applyProtection="1">
      <alignment horizontal="center"/>
      <protection locked="0"/>
    </xf>
    <xf numFmtId="49" fontId="16" fillId="0" borderId="12" xfId="0" applyNumberFormat="1" applyFont="1" applyFill="1" applyBorder="1" applyAlignment="1" applyProtection="1">
      <alignment horizontal="center"/>
      <protection locked="0"/>
    </xf>
    <xf numFmtId="14" fontId="15" fillId="2" borderId="16" xfId="0" applyNumberFormat="1" applyFont="1" applyFill="1" applyBorder="1" applyAlignment="1" applyProtection="1">
      <alignment horizontal="center" vertical="center"/>
    </xf>
    <xf numFmtId="14" fontId="15" fillId="0" borderId="16" xfId="0" applyNumberFormat="1" applyFont="1" applyBorder="1" applyAlignment="1" applyProtection="1">
      <alignment horizontal="center" vertical="center"/>
      <protection locked="0"/>
    </xf>
    <xf numFmtId="49" fontId="15" fillId="0" borderId="18" xfId="0" applyNumberFormat="1" applyFont="1" applyBorder="1" applyAlignment="1" applyProtection="1">
      <alignment horizontal="center" vertical="center"/>
      <protection locked="0"/>
    </xf>
    <xf numFmtId="49" fontId="16" fillId="0" borderId="25" xfId="0" applyNumberFormat="1" applyFont="1" applyBorder="1" applyAlignment="1" applyProtection="1">
      <alignment horizontal="center"/>
      <protection locked="0"/>
    </xf>
    <xf numFmtId="49" fontId="17" fillId="0" borderId="0" xfId="0" applyNumberFormat="1" applyFont="1" applyAlignment="1" applyProtection="1">
      <alignment horizontal="right"/>
      <protection locked="0"/>
    </xf>
    <xf numFmtId="49" fontId="17" fillId="2" borderId="1" xfId="0" applyNumberFormat="1" applyFont="1" applyFill="1" applyBorder="1" applyAlignment="1" applyProtection="1">
      <alignment horizontal="right"/>
    </xf>
    <xf numFmtId="49" fontId="17" fillId="2" borderId="2" xfId="0" applyNumberFormat="1" applyFont="1" applyFill="1" applyBorder="1" applyAlignment="1" applyProtection="1">
      <alignment wrapText="1"/>
    </xf>
    <xf numFmtId="49" fontId="17" fillId="0" borderId="1" xfId="0" applyNumberFormat="1" applyFont="1" applyBorder="1" applyAlignment="1" applyProtection="1">
      <alignment wrapText="1"/>
      <protection locked="0"/>
    </xf>
    <xf numFmtId="49" fontId="17" fillId="0" borderId="0" xfId="0" applyNumberFormat="1" applyFont="1" applyBorder="1" applyAlignment="1" applyProtection="1">
      <alignment horizontal="right"/>
      <protection locked="0"/>
    </xf>
    <xf numFmtId="49" fontId="17" fillId="0" borderId="0" xfId="0" applyNumberFormat="1" applyFont="1" applyFill="1" applyBorder="1" applyAlignment="1" applyProtection="1">
      <alignment horizontal="right"/>
      <protection locked="0"/>
    </xf>
    <xf numFmtId="14" fontId="17" fillId="2" borderId="1" xfId="0" applyNumberFormat="1" applyFont="1" applyFill="1" applyBorder="1" applyAlignment="1" applyProtection="1">
      <alignment horizontal="right"/>
    </xf>
    <xf numFmtId="14" fontId="17" fillId="0" borderId="1" xfId="0" applyNumberFormat="1" applyFont="1" applyBorder="1" applyAlignment="1" applyProtection="1">
      <alignment horizontal="right"/>
      <protection locked="0"/>
    </xf>
    <xf numFmtId="49" fontId="17" fillId="0" borderId="1" xfId="0" applyNumberFormat="1" applyFont="1" applyBorder="1" applyAlignment="1" applyProtection="1">
      <alignment horizontal="right"/>
      <protection locked="0"/>
    </xf>
    <xf numFmtId="49" fontId="17" fillId="0" borderId="2" xfId="0" applyNumberFormat="1" applyFont="1" applyBorder="1" applyAlignment="1" applyProtection="1">
      <alignment horizontal="right"/>
      <protection locked="0"/>
    </xf>
    <xf numFmtId="49" fontId="17" fillId="0" borderId="27" xfId="0" applyNumberFormat="1" applyFont="1" applyBorder="1" applyAlignment="1" applyProtection="1">
      <alignment horizontal="right"/>
      <protection locked="0"/>
    </xf>
    <xf numFmtId="0" fontId="0" fillId="0" borderId="28" xfId="0" applyBorder="1"/>
    <xf numFmtId="0" fontId="11" fillId="0" borderId="0" xfId="0" applyNumberFormat="1" applyFont="1" applyBorder="1" applyAlignment="1">
      <alignment vertical="center"/>
    </xf>
    <xf numFmtId="0" fontId="10" fillId="0" borderId="0" xfId="0" applyNumberFormat="1" applyFont="1" applyBorder="1" applyAlignment="1">
      <alignment vertical="center"/>
    </xf>
    <xf numFmtId="0" fontId="11" fillId="0" borderId="0" xfId="0" applyNumberFormat="1" applyFont="1" applyBorder="1" applyAlignment="1"/>
    <xf numFmtId="0" fontId="11" fillId="0" borderId="25" xfId="0" applyNumberFormat="1" applyFont="1" applyBorder="1" applyAlignment="1"/>
    <xf numFmtId="0" fontId="0" fillId="0" borderId="12" xfId="0" applyBorder="1"/>
    <xf numFmtId="0" fontId="0" fillId="0" borderId="24" xfId="0" applyBorder="1"/>
    <xf numFmtId="0" fontId="0" fillId="0" borderId="19" xfId="0" applyBorder="1"/>
    <xf numFmtId="0" fontId="0" fillId="0" borderId="19" xfId="0" applyFill="1" applyBorder="1"/>
    <xf numFmtId="0" fontId="0" fillId="0" borderId="6" xfId="0" applyNumberFormat="1" applyFill="1" applyBorder="1"/>
    <xf numFmtId="49" fontId="17" fillId="0" borderId="1" xfId="0" applyNumberFormat="1" applyFont="1" applyFill="1" applyBorder="1" applyAlignment="1" applyProtection="1">
      <alignment horizontal="right"/>
      <protection locked="0"/>
    </xf>
    <xf numFmtId="49" fontId="17" fillId="0" borderId="0" xfId="0" applyNumberFormat="1" applyFont="1" applyFill="1" applyBorder="1" applyAlignment="1" applyProtection="1">
      <alignment horizontal="right" wrapText="1"/>
      <protection locked="0"/>
    </xf>
    <xf numFmtId="14" fontId="0" fillId="0" borderId="33" xfId="0" applyNumberFormat="1" applyBorder="1" applyAlignment="1" applyProtection="1">
      <alignment horizontal="right"/>
      <protection locked="0"/>
    </xf>
    <xf numFmtId="49" fontId="17" fillId="6" borderId="0" xfId="0" applyNumberFormat="1" applyFont="1" applyFill="1" applyAlignment="1" applyProtection="1">
      <alignment horizontal="right"/>
      <protection locked="0"/>
    </xf>
    <xf numFmtId="49" fontId="0" fillId="7" borderId="1" xfId="0" applyNumberFormat="1" applyFill="1" applyBorder="1" applyAlignment="1" applyProtection="1">
      <alignment horizontal="right"/>
    </xf>
    <xf numFmtId="49" fontId="17" fillId="0" borderId="0" xfId="0" applyNumberFormat="1" applyFont="1" applyBorder="1" applyAlignment="1" applyProtection="1">
      <alignment horizontal="right" wrapText="1"/>
      <protection locked="0"/>
    </xf>
    <xf numFmtId="49" fontId="17" fillId="6" borderId="0" xfId="0" applyNumberFormat="1" applyFont="1" applyFill="1" applyBorder="1" applyAlignment="1" applyProtection="1">
      <alignment horizontal="right"/>
      <protection locked="0"/>
    </xf>
    <xf numFmtId="0" fontId="18" fillId="0" borderId="0" xfId="0" applyFont="1"/>
  </cellXfs>
  <cellStyles count="1">
    <cellStyle name="Normal" xfId="0" builtinId="0"/>
  </cellStyles>
  <dxfs count="92">
    <dxf>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medium">
          <color indexed="64"/>
        </left>
        <right/>
        <top/>
        <bottom/>
      </border>
      <protection locked="0"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19" formatCode="m/d/yyyy"/>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19" formatCode="m/d/yyyy"/>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19" formatCode="m/d/yyyy"/>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19" formatCode="m/d/yyyy"/>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1" indent="0" justifyLastLine="0" shrinkToFit="0" readingOrder="0"/>
      <protection locked="0"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1" indent="0" justifyLastLine="0" shrinkToFit="0" readingOrder="0"/>
      <protection locked="0"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general" vertical="bottom" textRotation="0" wrapText="1" indent="0" justifyLastLine="0" shrinkToFit="0" readingOrder="0"/>
      <border diagonalUp="0" diagonalDown="0" outline="0">
        <left style="thin">
          <color indexed="64"/>
        </left>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border outline="0">
        <right style="medium">
          <color indexed="64"/>
        </right>
      </border>
    </dxf>
    <dxf>
      <font>
        <strike val="0"/>
        <outline val="0"/>
        <shadow val="0"/>
        <u val="none"/>
        <vertAlign val="baseline"/>
        <color auto="1"/>
      </font>
    </dxf>
    <dxf>
      <font>
        <b/>
        <i val="0"/>
        <strike val="0"/>
        <condense val="0"/>
        <extend val="0"/>
        <outline val="0"/>
        <shadow val="0"/>
        <u val="none"/>
        <vertAlign val="baseline"/>
        <sz val="10"/>
        <color auto="1"/>
        <name val="Tahoma"/>
        <scheme val="none"/>
      </font>
      <numFmt numFmtId="30" formatCode="@"/>
      <fill>
        <patternFill patternType="solid">
          <fgColor indexed="64"/>
          <bgColor theme="8" tint="0.79998168889431442"/>
        </patternFill>
      </fill>
      <alignment horizontal="center" vertical="center" textRotation="0" wrapText="1" indent="0" justifyLastLine="0" shrinkToFit="0" readingOrder="0"/>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0" formatCode="General"/>
      <fill>
        <patternFill patternType="none">
          <fgColor indexed="64"/>
          <bgColor auto="1"/>
        </patternFill>
      </fill>
      <border diagonalUp="0" diagonalDown="0">
        <left style="medium">
          <color indexed="64"/>
        </left>
        <right/>
        <top style="medium">
          <color indexed="64"/>
        </top>
        <bottom style="medium">
          <color indexed="64"/>
        </bottom>
      </border>
    </dxf>
    <dxf>
      <border diagonalUp="0" diagonalDown="0" outline="0">
        <left style="medium">
          <color indexed="64"/>
        </left>
        <right style="medium">
          <color indexed="64"/>
        </right>
        <top style="medium">
          <color indexed="64"/>
        </top>
        <bottom style="medium">
          <color indexed="64"/>
        </bottom>
      </border>
    </dxf>
    <dxf>
      <fill>
        <patternFill patternType="none">
          <fgColor indexed="64"/>
          <bgColor indexed="65"/>
        </patternFill>
      </fill>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fill>
        <patternFill patternType="none">
          <fgColor indexed="64"/>
          <bgColor indexed="65"/>
        </patternFill>
      </fill>
      <alignment horizontal="general" vertical="bottom" textRotation="0" wrapText="0" indent="0" justifyLastLine="0" shrinkToFit="0" readingOrder="0"/>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numFmt numFmtId="0" formatCode="General"/>
      <fill>
        <patternFill patternType="none">
          <fgColor indexed="64"/>
          <bgColor auto="1"/>
        </patternFill>
      </fill>
      <border diagonalUp="0" diagonalDown="0">
        <left style="medium">
          <color indexed="64"/>
        </left>
        <right/>
        <top style="medium">
          <color indexed="64"/>
        </top>
        <bottom style="medium">
          <color indexed="64"/>
        </bottom>
      </border>
    </dxf>
    <dxf>
      <border diagonalUp="0" diagonalDown="0" outline="0">
        <left style="medium">
          <color indexed="64"/>
        </left>
        <right style="medium">
          <color indexed="64"/>
        </right>
        <top style="medium">
          <color indexed="64"/>
        </top>
        <bottom style="medium">
          <color indexed="64"/>
        </bottom>
      </border>
    </dxf>
    <dxf>
      <fill>
        <patternFill patternType="none">
          <fgColor indexed="64"/>
          <bgColor indexed="65"/>
        </patternFill>
      </fill>
      <border diagonalUp="0" diagonalDown="0">
        <left style="medium">
          <color indexed="64"/>
        </left>
        <right style="medium">
          <color indexed="64"/>
        </right>
        <top style="medium">
          <color indexed="64"/>
        </top>
        <bottom style="medium">
          <color indexed="64"/>
        </bottom>
        <vertical/>
        <horizontal/>
      </border>
    </dxf>
    <dxf>
      <border diagonalUp="0" diagonalDown="0">
        <left style="medium">
          <color indexed="64"/>
        </left>
        <right style="medium">
          <color indexed="64"/>
        </right>
        <top style="medium">
          <color indexed="64"/>
        </top>
        <bottom style="medium">
          <color indexed="64"/>
        </bottom>
        <vertical/>
        <horizontal/>
      </border>
    </dxf>
    <dxf>
      <border diagonalUp="0" diagonalDown="0">
        <left style="medium">
          <color indexed="64"/>
        </left>
        <right style="medium">
          <color indexed="64"/>
        </right>
        <top style="medium">
          <color indexed="64"/>
        </top>
        <bottom style="medium">
          <color indexed="64"/>
        </bottom>
        <vertical/>
        <horizontal/>
      </border>
    </dxf>
    <dxf>
      <fill>
        <patternFill patternType="none">
          <fgColor indexed="64"/>
          <bgColor indexed="65"/>
        </patternFill>
      </fill>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1"/>
        <name val="Calibri"/>
        <scheme val="minor"/>
      </font>
      <border diagonalUp="0" diagonalDown="0" outline="0">
        <left style="medium">
          <color indexed="64"/>
        </left>
        <right style="medium">
          <color indexed="64"/>
        </right>
        <top/>
        <bottom/>
      </border>
    </dxf>
    <dxf>
      <font>
        <b/>
        <i val="0"/>
        <strike val="0"/>
        <condense val="0"/>
        <extend val="0"/>
        <outline val="0"/>
        <shadow val="0"/>
        <u val="none"/>
        <vertAlign val="baseline"/>
        <sz val="11"/>
        <color theme="1"/>
        <name val="Calibri"/>
        <scheme val="minor"/>
      </font>
      <alignment horizontal="general" vertical="top" textRotation="0" wrapText="1" indent="0" justifyLastLine="0" shrinkToFit="0" readingOrder="0"/>
      <border diagonalUp="0" diagonalDown="0">
        <left style="medium">
          <color indexed="64"/>
        </left>
        <right/>
        <top style="medium">
          <color indexed="64"/>
        </top>
        <bottom style="medium">
          <color indexed="64"/>
        </bottom>
        <vertical/>
        <horizontal/>
      </border>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bottom style="medium">
          <color indexed="64"/>
        </bottom>
      </border>
    </dxf>
    <dxf>
      <font>
        <b/>
        <i val="0"/>
        <strike val="0"/>
        <condense val="0"/>
        <extend val="0"/>
        <outline val="0"/>
        <shadow val="0"/>
        <u val="none"/>
        <vertAlign val="baseline"/>
        <sz val="12"/>
        <color theme="1"/>
        <name val="Arial"/>
        <scheme val="none"/>
      </font>
      <alignment horizontal="general"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ill>
        <patternFill patternType="lightTrellis">
          <bgColor theme="0"/>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U:\Energy\5%20UTILITY%20BILL%20MANAGEMENT\22%20-%20Building%20Data\Missing%20Data\20190905-UPDATE_CustomFieldsPlace_dll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Entry"/>
      <sheetName val="SheetType"/>
      <sheetName val="UdfIDs"/>
      <sheetName val="SelectListValues"/>
      <sheetName val="Formats"/>
    </sheetNames>
    <sheetDataSet>
      <sheetData sheetId="0"/>
      <sheetData sheetId="1"/>
      <sheetData sheetId="2">
        <row r="1">
          <cell r="A1" t="str">
            <v>Yes</v>
          </cell>
        </row>
        <row r="2">
          <cell r="A2" t="str">
            <v>No</v>
          </cell>
        </row>
      </sheetData>
      <sheetData sheetId="3">
        <row r="1">
          <cell r="L1" t="str">
            <v>Property Owned by State</v>
          </cell>
        </row>
        <row r="2">
          <cell r="L2" t="str">
            <v>Property Leased by State</v>
          </cell>
        </row>
        <row r="3">
          <cell r="L3" t="str">
            <v>No Longer Leased by State</v>
          </cell>
        </row>
        <row r="4">
          <cell r="L4" t="str">
            <v>Operated by State</v>
          </cell>
        </row>
      </sheetData>
      <sheetData sheetId="4"/>
    </sheetDataSet>
  </externalBook>
</externalLink>
</file>

<file path=xl/tables/table1.xml><?xml version="1.0" encoding="utf-8"?>
<table xmlns="http://schemas.openxmlformats.org/spreadsheetml/2006/main" id="4" name="Table4" displayName="Table4" ref="A6:B124" totalsRowShown="0" headerRowDxfId="90" headerRowBorderDxfId="89" tableBorderDxfId="88" totalsRowBorderDxfId="87">
  <autoFilter ref="A6:B124"/>
  <tableColumns count="2">
    <tableColumn id="1" name="Primary Use " dataDxfId="86"/>
    <tableColumn id="2" name="Definition" dataDxfId="85"/>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A2:F69" totalsRowShown="0" headerRowDxfId="84" headerRowBorderDxfId="83" tableBorderDxfId="82" totalsRowBorderDxfId="81">
  <autoFilter ref="A2:F69"/>
  <sortState ref="A3:F69">
    <sortCondition ref="D2:D69"/>
  </sortState>
  <tableColumns count="6">
    <tableColumn id="1" name="Account Name" dataDxfId="80"/>
    <tableColumn id="2" name="Cost Center Name" dataDxfId="79"/>
    <tableColumn id="3" name="Vendor Name" dataDxfId="78"/>
    <tableColumn id="4" name="Meter Name" dataDxfId="77"/>
    <tableColumn id="5" name="Independent/Campus Meter" dataDxfId="76"/>
    <tableColumn id="6" name="Dropdown List " dataDxfId="75">
      <calculatedColumnFormula>CONCATENATE(Table1[[#This Row],[Meter Name]]," - ",Table1[[#This Row],[Independent/Campus Meter]])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2:F7" totalsRowShown="0" headerRowBorderDxfId="74" tableBorderDxfId="73" totalsRowBorderDxfId="72">
  <autoFilter ref="A2:F7"/>
  <sortState ref="A3:F43">
    <sortCondition ref="D3:D43"/>
  </sortState>
  <tableColumns count="6">
    <tableColumn id="1" name="Account Name" dataDxfId="71"/>
    <tableColumn id="2" name="Cost Center Name" dataDxfId="70"/>
    <tableColumn id="3" name="Vendor Name" dataDxfId="69"/>
    <tableColumn id="4" name="Meter Name" dataDxfId="68"/>
    <tableColumn id="5" name="Independent/Campus Meter" dataDxfId="67"/>
    <tableColumn id="6" name="Dropdown List " dataDxfId="66">
      <calculatedColumnFormula>CONCATENATE(Table2[[#This Row],[Meter Name]]," - ",Table2[[#This Row],[Independent/Campus Meter]])</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7" name="Table7" displayName="Table7" ref="A1:AI106" totalsRowShown="0" headerRowDxfId="40" dataDxfId="39" tableBorderDxfId="38">
  <autoFilter ref="A1:AI106"/>
  <tableColumns count="35">
    <tableColumn id="1" name="Error Messages" dataDxfId="37"/>
    <tableColumn id="2" name="PlaceID" dataDxfId="36"/>
    <tableColumn id="3" name="Organization Code" dataDxfId="35"/>
    <tableColumn id="4" name="Organization Code_x000a_Update" dataDxfId="34"/>
    <tableColumn id="5" name="Organization Name" dataDxfId="33"/>
    <tableColumn id="6" name="Organization Name_x000a_Update" dataDxfId="32"/>
    <tableColumn id="7" name="Organization Type_x000a_Code" dataDxfId="31"/>
    <tableColumn id="8" name="Organization Type_x000a_Code Update" dataDxfId="30"/>
    <tableColumn id="9" name="Parent Organization_x000a_Code" dataDxfId="29"/>
    <tableColumn id="10" name="Parent Organization_x000a_Code Update" dataDxfId="28"/>
    <tableColumn id="11" name="Building Code" dataDxfId="27"/>
    <tableColumn id="12" name="Building Code_x000a_Update" dataDxfId="26"/>
    <tableColumn id="13" name="Building Name" dataDxfId="25"/>
    <tableColumn id="14" name="Building Name_x000a_Update" dataDxfId="24"/>
    <tableColumn id="15" name="Owned or Leased" dataDxfId="23"/>
    <tableColumn id="16" name="Owned or Leased Update" dataDxfId="22"/>
    <tableColumn id="17" name="Electric Meter Name" dataDxfId="21"/>
    <tableColumn id="18" name="Natural Gas Meter Name" dataDxfId="20"/>
    <tableColumn id="19" name="Building Address_x000a_Street 1" dataDxfId="19"/>
    <tableColumn id="20" name="Building Address_x000a_Street 1 Update" dataDxfId="18"/>
    <tableColumn id="21" name="Building Address_x000a_Street 2" dataDxfId="17"/>
    <tableColumn id="22" name="Building Address_x000a_Street 2 Update" dataDxfId="16"/>
    <tableColumn id="23" name="Building Address_x000a_Postal Code" dataDxfId="15"/>
    <tableColumn id="24" name="Building Address_x000a_Postal Code Update" dataDxfId="14"/>
    <tableColumn id="25" name="Build Date" dataDxfId="13"/>
    <tableColumn id="26" name="Build Date _x000a_Update" dataDxfId="12"/>
    <tableColumn id="27" name="Floor Area" dataDxfId="11"/>
    <tableColumn id="28" name="Floor Area_x000a_Update" dataDxfId="10"/>
    <tableColumn id="29" name="Floor Area_x000a_Unit" dataDxfId="9"/>
    <tableColumn id="30" name="Floor Area_x000a_Unit Update" dataDxfId="8"/>
    <tableColumn id="31" name="Floor Area_x000a_Effective Date" dataDxfId="7"/>
    <tableColumn id="32" name="Floor Area _x000a_Effective Date Update" dataDxfId="6"/>
    <tableColumn id="33" name="Primary Use_x000a_Code" dataDxfId="5"/>
    <tableColumn id="34" name="Primary Use_x000a_Code Update" dataDxfId="4"/>
    <tableColumn id="35" name="Notes" dataDxfId="3"/>
  </tableColumns>
  <tableStyleInfo name="TableStyleMedium20" showFirstColumn="0" showLastColumn="0" showRowStripes="0" showColumnStripes="0"/>
</table>
</file>

<file path=xl/tables/table5.xml><?xml version="1.0" encoding="utf-8"?>
<table xmlns="http://schemas.openxmlformats.org/spreadsheetml/2006/main" id="3" name="Table3" displayName="Table3" ref="A1:B119" totalsRowShown="0" tableBorderDxfId="2">
  <autoFilter ref="A1:B119"/>
  <tableColumns count="2">
    <tableColumn id="1" name="Primary Use" dataDxfId="1"/>
    <tableColumn id="2" name="Definition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O39"/>
  <sheetViews>
    <sheetView showGridLines="0" topLeftCell="A7" workbookViewId="0"/>
  </sheetViews>
  <sheetFormatPr defaultRowHeight="15" x14ac:dyDescent="0.25"/>
  <cols>
    <col min="14" max="14" width="57" style="15" customWidth="1"/>
  </cols>
  <sheetData>
    <row r="1" spans="1:15" ht="15.75" x14ac:dyDescent="0.25">
      <c r="B1" s="73"/>
      <c r="C1" s="73"/>
      <c r="D1" s="73"/>
      <c r="E1" s="73"/>
      <c r="F1" s="73"/>
      <c r="G1" s="73"/>
      <c r="H1" s="73"/>
      <c r="I1" s="73"/>
      <c r="J1" s="73"/>
      <c r="K1" s="73"/>
      <c r="L1" s="73"/>
      <c r="M1" s="73"/>
      <c r="N1" s="74"/>
      <c r="O1" s="15"/>
    </row>
    <row r="2" spans="1:15" ht="15.75" x14ac:dyDescent="0.25">
      <c r="B2" s="76"/>
      <c r="C2" s="76"/>
      <c r="D2" s="76"/>
      <c r="E2" s="76"/>
      <c r="F2" s="76"/>
      <c r="G2" s="76"/>
      <c r="H2" s="76"/>
      <c r="I2" s="76"/>
      <c r="J2" s="76"/>
      <c r="K2" s="76"/>
      <c r="L2" s="76"/>
      <c r="M2" s="76"/>
      <c r="N2" s="77"/>
      <c r="O2" s="15"/>
    </row>
    <row r="3" spans="1:15" ht="15.75" x14ac:dyDescent="0.25">
      <c r="A3" s="80" t="s">
        <v>501</v>
      </c>
      <c r="B3" s="76"/>
      <c r="C3" s="76"/>
      <c r="D3" s="76"/>
      <c r="E3" s="76"/>
      <c r="F3" s="76"/>
      <c r="G3" s="76"/>
      <c r="H3" s="76"/>
      <c r="I3" s="76"/>
      <c r="J3" s="76"/>
      <c r="K3" s="76"/>
      <c r="L3" s="76"/>
      <c r="M3" s="76"/>
      <c r="N3" s="77"/>
      <c r="O3" s="15"/>
    </row>
    <row r="4" spans="1:15" ht="15.75" x14ac:dyDescent="0.25">
      <c r="A4" s="78"/>
      <c r="B4" s="76"/>
      <c r="C4" s="76"/>
      <c r="D4" s="76"/>
      <c r="E4" s="76"/>
      <c r="F4" s="76"/>
      <c r="G4" s="76"/>
      <c r="H4" s="76"/>
      <c r="I4" s="76"/>
      <c r="J4" s="76"/>
      <c r="K4" s="76"/>
      <c r="L4" s="76"/>
      <c r="M4" s="76"/>
      <c r="N4" s="77"/>
      <c r="O4" s="15"/>
    </row>
    <row r="5" spans="1:15" ht="15.75" x14ac:dyDescent="0.25">
      <c r="A5" s="78" t="s">
        <v>518</v>
      </c>
      <c r="B5" s="76"/>
      <c r="C5" s="76"/>
      <c r="D5" s="76"/>
      <c r="E5" s="76"/>
      <c r="F5" s="76"/>
      <c r="G5" s="76"/>
      <c r="H5" s="76"/>
      <c r="I5" s="76"/>
      <c r="J5" s="76"/>
      <c r="K5" s="76"/>
      <c r="L5" s="76"/>
      <c r="M5" s="76"/>
      <c r="N5" s="77"/>
      <c r="O5" s="15"/>
    </row>
    <row r="6" spans="1:15" ht="15.75" x14ac:dyDescent="0.25">
      <c r="A6" s="79" t="s">
        <v>519</v>
      </c>
      <c r="B6" s="76"/>
      <c r="C6" s="76"/>
      <c r="D6" s="76"/>
      <c r="E6" s="76"/>
      <c r="F6" s="76"/>
      <c r="G6" s="76"/>
      <c r="H6" s="76"/>
      <c r="I6" s="76"/>
      <c r="J6" s="76"/>
      <c r="K6" s="76"/>
      <c r="L6" s="76"/>
      <c r="M6" s="76"/>
      <c r="N6" s="77"/>
      <c r="O6" s="15"/>
    </row>
    <row r="7" spans="1:15" ht="15.75" x14ac:dyDescent="0.25">
      <c r="A7" s="79"/>
      <c r="B7" s="76"/>
      <c r="C7" s="76"/>
      <c r="D7" s="76"/>
      <c r="E7" s="76"/>
      <c r="F7" s="76"/>
      <c r="G7" s="76"/>
      <c r="H7" s="76"/>
      <c r="I7" s="76"/>
      <c r="J7" s="76"/>
      <c r="K7" s="76"/>
      <c r="L7" s="76"/>
      <c r="M7" s="76"/>
      <c r="N7" s="77"/>
      <c r="O7" s="15"/>
    </row>
    <row r="8" spans="1:15" ht="15.75" x14ac:dyDescent="0.25">
      <c r="A8" s="79" t="s">
        <v>520</v>
      </c>
      <c r="B8" s="76"/>
      <c r="C8" s="76"/>
      <c r="D8" s="76"/>
      <c r="E8" s="76"/>
      <c r="F8" s="76"/>
      <c r="G8" s="76"/>
      <c r="H8" s="76"/>
      <c r="I8" s="76"/>
      <c r="J8" s="76"/>
      <c r="K8" s="76"/>
      <c r="L8" s="76"/>
      <c r="M8" s="76"/>
      <c r="N8" s="77"/>
      <c r="O8" s="15"/>
    </row>
    <row r="9" spans="1:15" ht="15.75" x14ac:dyDescent="0.25">
      <c r="A9" s="79" t="s">
        <v>521</v>
      </c>
      <c r="B9" s="76"/>
      <c r="C9" s="76"/>
      <c r="D9" s="76"/>
      <c r="E9" s="76"/>
      <c r="F9" s="76"/>
      <c r="G9" s="76"/>
      <c r="H9" s="76"/>
      <c r="I9" s="76"/>
      <c r="J9" s="76"/>
      <c r="K9" s="76"/>
      <c r="L9" s="76"/>
      <c r="M9" s="76"/>
      <c r="N9" s="77"/>
      <c r="O9" s="15"/>
    </row>
    <row r="10" spans="1:15" ht="15.75" x14ac:dyDescent="0.25">
      <c r="A10" s="79" t="s">
        <v>522</v>
      </c>
      <c r="B10" s="76"/>
      <c r="C10" s="76"/>
      <c r="D10" s="76"/>
      <c r="E10" s="76"/>
      <c r="F10" s="76"/>
      <c r="G10" s="76"/>
      <c r="H10" s="76"/>
      <c r="I10" s="76"/>
      <c r="J10" s="76"/>
      <c r="K10" s="76"/>
      <c r="L10" s="76"/>
      <c r="M10" s="76"/>
      <c r="N10" s="77"/>
      <c r="O10" s="15"/>
    </row>
    <row r="11" spans="1:15" ht="15.75" x14ac:dyDescent="0.25">
      <c r="A11" s="75" t="s">
        <v>523</v>
      </c>
      <c r="B11" s="76"/>
      <c r="C11" s="76"/>
      <c r="D11" s="76"/>
      <c r="E11" s="76"/>
      <c r="F11" s="76"/>
      <c r="G11" s="76"/>
      <c r="H11" s="76"/>
      <c r="I11" s="76"/>
      <c r="J11" s="76"/>
      <c r="K11" s="76"/>
      <c r="L11" s="76"/>
      <c r="M11" s="76"/>
      <c r="N11" s="77"/>
      <c r="O11" s="15"/>
    </row>
    <row r="12" spans="1:15" ht="15.75" x14ac:dyDescent="0.25">
      <c r="A12" s="79" t="s">
        <v>524</v>
      </c>
      <c r="B12" s="76"/>
      <c r="C12" s="76"/>
      <c r="D12" s="76"/>
      <c r="E12" s="76"/>
      <c r="F12" s="76"/>
      <c r="G12" s="76"/>
      <c r="H12" s="76"/>
      <c r="I12" s="76"/>
      <c r="J12" s="76"/>
      <c r="K12" s="76"/>
      <c r="L12" s="76"/>
      <c r="M12" s="76"/>
      <c r="N12" s="77"/>
      <c r="O12" s="15"/>
    </row>
    <row r="13" spans="1:15" ht="15.75" x14ac:dyDescent="0.25">
      <c r="A13" s="79" t="s">
        <v>525</v>
      </c>
      <c r="B13" s="76"/>
      <c r="C13" s="76"/>
      <c r="D13" s="76"/>
      <c r="E13" s="76"/>
      <c r="F13" s="76"/>
      <c r="G13" s="76"/>
      <c r="H13" s="76"/>
      <c r="I13" s="76"/>
      <c r="J13" s="76"/>
      <c r="K13" s="76"/>
      <c r="L13" s="76"/>
      <c r="M13" s="76"/>
      <c r="N13" s="77"/>
      <c r="O13" s="15"/>
    </row>
    <row r="14" spans="1:15" ht="15.75" x14ac:dyDescent="0.25">
      <c r="A14" s="79" t="s">
        <v>526</v>
      </c>
      <c r="B14" s="76"/>
      <c r="C14" s="76"/>
      <c r="D14" s="76"/>
      <c r="E14" s="76"/>
      <c r="F14" s="76"/>
      <c r="G14" s="76"/>
      <c r="H14" s="76"/>
      <c r="I14" s="76"/>
      <c r="J14" s="76"/>
      <c r="K14" s="76"/>
      <c r="L14" s="76"/>
      <c r="M14" s="76"/>
      <c r="N14" s="77"/>
      <c r="O14" s="15"/>
    </row>
    <row r="15" spans="1:15" ht="15.75" x14ac:dyDescent="0.25">
      <c r="A15" s="79" t="s">
        <v>527</v>
      </c>
      <c r="B15" s="76"/>
      <c r="C15" s="76"/>
      <c r="D15" s="76"/>
      <c r="E15" s="76"/>
      <c r="F15" s="76"/>
      <c r="G15" s="76"/>
      <c r="H15" s="76"/>
      <c r="I15" s="76"/>
      <c r="J15" s="76"/>
      <c r="K15" s="76"/>
      <c r="L15" s="76"/>
      <c r="M15" s="76"/>
      <c r="N15" s="77"/>
      <c r="O15" s="15"/>
    </row>
    <row r="16" spans="1:15" ht="15.75" x14ac:dyDescent="0.25">
      <c r="A16" s="130" t="s">
        <v>528</v>
      </c>
      <c r="B16" s="76"/>
      <c r="C16" s="76"/>
      <c r="D16" s="76"/>
      <c r="E16" s="76"/>
      <c r="F16" s="76"/>
      <c r="G16" s="76"/>
      <c r="H16" s="76"/>
      <c r="I16" s="76"/>
      <c r="J16" s="76"/>
      <c r="K16" s="76"/>
      <c r="L16" s="76"/>
      <c r="M16" s="76"/>
      <c r="N16" s="77"/>
      <c r="O16" s="15"/>
    </row>
    <row r="17" spans="1:15" ht="15.75" x14ac:dyDescent="0.25">
      <c r="A17" s="130" t="s">
        <v>529</v>
      </c>
      <c r="B17" s="76"/>
      <c r="C17" s="76"/>
      <c r="D17" s="76"/>
      <c r="E17" s="76"/>
      <c r="F17" s="76"/>
      <c r="G17" s="76"/>
      <c r="H17" s="76"/>
      <c r="I17" s="76"/>
      <c r="J17" s="76"/>
      <c r="K17" s="76"/>
      <c r="L17" s="76"/>
      <c r="M17" s="76"/>
      <c r="N17" s="77"/>
      <c r="O17" s="15"/>
    </row>
    <row r="18" spans="1:15" ht="16.5" thickBot="1" x14ac:dyDescent="0.3">
      <c r="A18" s="82"/>
      <c r="B18" s="82"/>
      <c r="C18" s="82"/>
      <c r="D18" s="82"/>
      <c r="E18" s="82"/>
      <c r="F18" s="82"/>
      <c r="G18" s="82"/>
      <c r="H18" s="82"/>
      <c r="I18" s="82"/>
      <c r="J18" s="82"/>
      <c r="K18" s="82"/>
      <c r="L18" s="82"/>
      <c r="M18" s="82"/>
      <c r="N18" s="83"/>
      <c r="O18" s="15"/>
    </row>
    <row r="19" spans="1:15" ht="15.75" x14ac:dyDescent="0.25">
      <c r="A19" s="78"/>
      <c r="B19" s="76"/>
      <c r="C19" s="76"/>
      <c r="D19" s="76"/>
      <c r="E19" s="76"/>
      <c r="F19" s="76"/>
      <c r="G19" s="76"/>
      <c r="H19" s="76"/>
      <c r="I19" s="76"/>
      <c r="J19" s="76"/>
      <c r="K19" s="76"/>
      <c r="L19" s="76"/>
      <c r="M19" s="76"/>
      <c r="N19" s="77"/>
      <c r="O19" s="15"/>
    </row>
    <row r="20" spans="1:15" ht="15.75" x14ac:dyDescent="0.25">
      <c r="A20" s="131" t="s">
        <v>516</v>
      </c>
      <c r="B20" s="76"/>
      <c r="C20" s="76"/>
      <c r="D20" s="76"/>
      <c r="E20" s="76"/>
      <c r="F20" s="76"/>
      <c r="G20" s="76"/>
      <c r="H20" s="76"/>
      <c r="I20" s="76"/>
      <c r="J20" s="76"/>
      <c r="K20" s="76"/>
      <c r="L20" s="76"/>
      <c r="M20" s="76"/>
      <c r="N20" s="77"/>
      <c r="O20" s="15"/>
    </row>
    <row r="21" spans="1:15" ht="15.75" x14ac:dyDescent="0.25">
      <c r="A21" s="131"/>
      <c r="B21" s="76"/>
      <c r="C21" s="76"/>
      <c r="D21" s="76"/>
      <c r="E21" s="76"/>
      <c r="F21" s="76"/>
      <c r="G21" s="76"/>
      <c r="H21" s="76"/>
      <c r="I21" s="76"/>
      <c r="J21" s="76"/>
      <c r="K21" s="76"/>
      <c r="L21" s="76"/>
      <c r="M21" s="76"/>
      <c r="N21" s="77"/>
      <c r="O21" s="15"/>
    </row>
    <row r="22" spans="1:15" ht="15.75" x14ac:dyDescent="0.25">
      <c r="A22" s="80" t="s">
        <v>530</v>
      </c>
      <c r="B22" s="76"/>
      <c r="C22" s="76"/>
      <c r="D22" s="76"/>
      <c r="E22" s="76"/>
      <c r="F22" s="76"/>
      <c r="G22" s="76"/>
      <c r="H22" s="76"/>
      <c r="I22" s="76"/>
      <c r="J22" s="76"/>
      <c r="K22" s="76"/>
      <c r="L22" s="76"/>
      <c r="M22" s="76"/>
      <c r="N22" s="77"/>
      <c r="O22" s="15"/>
    </row>
    <row r="23" spans="1:15" ht="15.75" x14ac:dyDescent="0.25">
      <c r="A23" s="79" t="s">
        <v>531</v>
      </c>
      <c r="B23" s="76"/>
      <c r="C23" s="76"/>
      <c r="D23" s="76"/>
      <c r="E23" s="76"/>
      <c r="F23" s="76"/>
      <c r="G23" s="76"/>
      <c r="H23" s="76"/>
      <c r="I23" s="76"/>
      <c r="J23" s="76"/>
      <c r="K23" s="76"/>
      <c r="L23" s="76"/>
      <c r="M23" s="76"/>
      <c r="N23" s="77"/>
      <c r="O23" s="15"/>
    </row>
    <row r="24" spans="1:15" ht="15.75" x14ac:dyDescent="0.25">
      <c r="A24" s="79" t="s">
        <v>532</v>
      </c>
      <c r="B24" s="76"/>
      <c r="C24" s="76"/>
      <c r="D24" s="76"/>
      <c r="E24" s="76"/>
      <c r="F24" s="76"/>
      <c r="G24" s="76"/>
      <c r="H24" s="76"/>
      <c r="I24" s="76"/>
      <c r="J24" s="76"/>
      <c r="K24" s="76"/>
      <c r="L24" s="76"/>
      <c r="M24" s="76"/>
      <c r="N24" s="77"/>
      <c r="O24" s="15"/>
    </row>
    <row r="25" spans="1:15" ht="15.75" x14ac:dyDescent="0.25">
      <c r="A25" s="79" t="s">
        <v>533</v>
      </c>
      <c r="B25" s="76"/>
      <c r="C25" s="76"/>
      <c r="D25" s="76"/>
      <c r="E25" s="76"/>
      <c r="F25" s="76"/>
      <c r="G25" s="76"/>
      <c r="H25" s="76"/>
      <c r="I25" s="76"/>
      <c r="J25" s="76"/>
      <c r="K25" s="76"/>
      <c r="L25" s="76"/>
      <c r="M25" s="76"/>
      <c r="N25" s="77"/>
      <c r="O25" s="15"/>
    </row>
    <row r="26" spans="1:15" ht="15.75" x14ac:dyDescent="0.25">
      <c r="A26" s="79" t="s">
        <v>534</v>
      </c>
      <c r="B26" s="76"/>
      <c r="C26" s="76"/>
      <c r="D26" s="76"/>
      <c r="E26" s="76"/>
      <c r="F26" s="76"/>
      <c r="G26" s="76"/>
      <c r="H26" s="76"/>
      <c r="I26" s="76"/>
      <c r="J26" s="76"/>
      <c r="K26" s="76"/>
      <c r="L26" s="76"/>
      <c r="M26" s="76"/>
      <c r="N26" s="77"/>
      <c r="O26" s="15"/>
    </row>
    <row r="27" spans="1:15" ht="15.75" x14ac:dyDescent="0.25">
      <c r="A27" s="79" t="s">
        <v>535</v>
      </c>
      <c r="B27" s="76"/>
      <c r="C27" s="76"/>
      <c r="D27" s="76"/>
      <c r="E27" s="76"/>
      <c r="F27" s="76"/>
      <c r="G27" s="76"/>
      <c r="H27" s="76"/>
      <c r="I27" s="76"/>
      <c r="J27" s="76"/>
      <c r="K27" s="76"/>
      <c r="L27" s="76"/>
      <c r="M27" s="76"/>
      <c r="N27" s="77"/>
      <c r="O27" s="15"/>
    </row>
    <row r="28" spans="1:15" ht="15.75" x14ac:dyDescent="0.25">
      <c r="A28" s="78"/>
      <c r="B28" s="76"/>
      <c r="C28" s="76"/>
      <c r="D28" s="76"/>
      <c r="E28" s="76"/>
      <c r="F28" s="76"/>
      <c r="G28" s="76"/>
      <c r="H28" s="76"/>
      <c r="I28" s="76"/>
      <c r="J28" s="76"/>
      <c r="K28" s="76"/>
      <c r="L28" s="76"/>
      <c r="M28" s="76"/>
      <c r="N28" s="77"/>
      <c r="O28" s="15"/>
    </row>
    <row r="29" spans="1:15" ht="15.75" x14ac:dyDescent="0.25">
      <c r="A29" s="78"/>
      <c r="B29" s="76"/>
      <c r="C29" s="76"/>
      <c r="D29" s="76"/>
      <c r="E29" s="76"/>
      <c r="F29" s="76"/>
      <c r="G29" s="76"/>
      <c r="H29" s="76"/>
      <c r="I29" s="76"/>
      <c r="J29" s="76"/>
      <c r="K29" s="76"/>
      <c r="L29" s="76"/>
      <c r="M29" s="76"/>
      <c r="N29" s="77"/>
    </row>
    <row r="30" spans="1:15" ht="15.75" x14ac:dyDescent="0.25">
      <c r="A30" s="80" t="s">
        <v>536</v>
      </c>
      <c r="B30" s="76"/>
      <c r="C30" s="76"/>
      <c r="D30" s="76"/>
      <c r="E30" s="76"/>
      <c r="F30" s="76"/>
      <c r="G30" s="76"/>
      <c r="H30" s="76"/>
      <c r="I30" s="76"/>
      <c r="J30" s="76"/>
      <c r="K30" s="76"/>
      <c r="L30" s="76"/>
      <c r="M30" s="76"/>
      <c r="N30" s="77"/>
    </row>
    <row r="31" spans="1:15" ht="15.75" x14ac:dyDescent="0.25">
      <c r="A31" s="79" t="s">
        <v>509</v>
      </c>
      <c r="B31" s="76"/>
      <c r="C31" s="76"/>
      <c r="D31" s="76"/>
      <c r="E31" s="76"/>
      <c r="F31" s="76"/>
      <c r="G31" s="76"/>
      <c r="H31" s="76"/>
      <c r="I31" s="76"/>
      <c r="J31" s="76"/>
      <c r="K31" s="76"/>
      <c r="L31" s="76"/>
      <c r="M31" s="76"/>
      <c r="N31" s="77"/>
    </row>
    <row r="32" spans="1:15" ht="15.75" x14ac:dyDescent="0.25">
      <c r="A32" s="79" t="s">
        <v>510</v>
      </c>
      <c r="B32" s="76"/>
      <c r="C32" s="76"/>
      <c r="D32" s="76"/>
      <c r="E32" s="76"/>
      <c r="F32" s="76"/>
      <c r="G32" s="76"/>
      <c r="H32" s="76"/>
      <c r="I32" s="76"/>
      <c r="J32" s="76"/>
      <c r="K32" s="76"/>
      <c r="L32" s="76"/>
      <c r="M32" s="76"/>
      <c r="N32" s="77"/>
    </row>
    <row r="33" spans="1:14" ht="15.75" x14ac:dyDescent="0.25">
      <c r="A33" s="79" t="s">
        <v>511</v>
      </c>
      <c r="B33" s="76"/>
      <c r="C33" s="76"/>
      <c r="D33" s="76"/>
      <c r="E33" s="76"/>
      <c r="F33" s="76"/>
      <c r="G33" s="76"/>
      <c r="H33" s="76"/>
      <c r="I33" s="76"/>
      <c r="J33" s="76"/>
      <c r="K33" s="76"/>
      <c r="L33" s="76"/>
      <c r="M33" s="76"/>
      <c r="N33" s="77"/>
    </row>
    <row r="34" spans="1:14" ht="15.75" x14ac:dyDescent="0.25">
      <c r="A34" s="79" t="s">
        <v>512</v>
      </c>
      <c r="B34" s="76"/>
      <c r="C34" s="76"/>
      <c r="D34" s="76"/>
      <c r="E34" s="76"/>
      <c r="F34" s="76"/>
      <c r="G34" s="76"/>
      <c r="H34" s="76"/>
      <c r="I34" s="76"/>
      <c r="J34" s="76"/>
      <c r="K34" s="76"/>
      <c r="L34" s="76"/>
      <c r="M34" s="76"/>
      <c r="N34" s="77"/>
    </row>
    <row r="35" spans="1:14" ht="15.75" x14ac:dyDescent="0.25">
      <c r="A35" s="79" t="s">
        <v>513</v>
      </c>
      <c r="B35" s="76"/>
      <c r="C35" s="76"/>
      <c r="D35" s="76"/>
      <c r="E35" s="76"/>
      <c r="F35" s="76"/>
      <c r="G35" s="76"/>
      <c r="H35" s="76"/>
      <c r="I35" s="76"/>
      <c r="J35" s="76"/>
      <c r="K35" s="76"/>
      <c r="L35" s="76"/>
      <c r="M35" s="76"/>
      <c r="N35" s="77"/>
    </row>
    <row r="36" spans="1:14" ht="15.75" x14ac:dyDescent="0.25">
      <c r="A36" s="79" t="s">
        <v>514</v>
      </c>
      <c r="B36" s="76"/>
      <c r="C36" s="76"/>
      <c r="D36" s="76"/>
      <c r="E36" s="76"/>
      <c r="F36" s="76"/>
      <c r="G36" s="76"/>
      <c r="H36" s="76"/>
      <c r="I36" s="76"/>
      <c r="J36" s="76"/>
      <c r="K36" s="76"/>
      <c r="L36" s="76"/>
      <c r="M36" s="76"/>
      <c r="N36" s="77"/>
    </row>
    <row r="37" spans="1:14" ht="15.75" x14ac:dyDescent="0.25">
      <c r="A37" s="81" t="s">
        <v>515</v>
      </c>
      <c r="B37" s="76"/>
      <c r="C37" s="76"/>
      <c r="D37" s="76"/>
      <c r="E37" s="76"/>
      <c r="F37" s="76"/>
      <c r="G37" s="76"/>
      <c r="H37" s="76"/>
      <c r="I37" s="76"/>
      <c r="J37" s="76"/>
      <c r="K37" s="76"/>
      <c r="L37" s="76"/>
      <c r="M37" s="76"/>
      <c r="N37" s="77"/>
    </row>
    <row r="38" spans="1:14" ht="15.75" x14ac:dyDescent="0.25">
      <c r="A38" s="132" t="s">
        <v>537</v>
      </c>
      <c r="B38" s="15"/>
      <c r="C38" s="15"/>
      <c r="D38" s="15"/>
      <c r="E38" s="15"/>
      <c r="F38" s="15"/>
      <c r="G38" s="15"/>
      <c r="H38" s="15"/>
      <c r="I38" s="15"/>
      <c r="J38" s="15"/>
      <c r="K38" s="15"/>
      <c r="L38" s="15"/>
      <c r="M38" s="15"/>
      <c r="N38" s="129"/>
    </row>
    <row r="39" spans="1:14" ht="16.5" thickBot="1" x14ac:dyDescent="0.3">
      <c r="A39" s="133" t="s">
        <v>538</v>
      </c>
      <c r="B39" s="134"/>
      <c r="C39" s="134"/>
      <c r="D39" s="134"/>
      <c r="E39" s="134"/>
      <c r="F39" s="134"/>
      <c r="G39" s="134"/>
      <c r="H39" s="134"/>
      <c r="I39" s="134"/>
      <c r="J39" s="134"/>
      <c r="K39" s="134"/>
      <c r="L39" s="134"/>
      <c r="M39" s="134"/>
      <c r="N39" s="135"/>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sheetPr>
  <dimension ref="A1:E124"/>
  <sheetViews>
    <sheetView showGridLines="0" topLeftCell="A28" workbookViewId="0">
      <selection activeCell="D7" sqref="D7"/>
    </sheetView>
  </sheetViews>
  <sheetFormatPr defaultRowHeight="15" x14ac:dyDescent="0.25"/>
  <cols>
    <col min="1" max="1" width="76.140625" customWidth="1"/>
    <col min="2" max="2" width="64.7109375" customWidth="1"/>
    <col min="5" max="5" width="25.5703125" customWidth="1"/>
  </cols>
  <sheetData>
    <row r="1" spans="1:5" ht="232.5" customHeight="1" thickBot="1" x14ac:dyDescent="0.3">
      <c r="A1" s="35" t="s">
        <v>462</v>
      </c>
    </row>
    <row r="2" spans="1:5" ht="16.5" thickBot="1" x14ac:dyDescent="0.3">
      <c r="A2" s="36" t="s">
        <v>463</v>
      </c>
      <c r="B2" s="37" t="s">
        <v>464</v>
      </c>
    </row>
    <row r="3" spans="1:5" ht="18.75" customHeight="1" thickBot="1" x14ac:dyDescent="0.3">
      <c r="A3" s="36" t="s">
        <v>465</v>
      </c>
      <c r="B3" s="38" t="s">
        <v>466</v>
      </c>
      <c r="E3" s="11"/>
    </row>
    <row r="4" spans="1:5" ht="33.75" customHeight="1" x14ac:dyDescent="0.25">
      <c r="A4" s="50"/>
      <c r="B4" s="51"/>
    </row>
    <row r="5" spans="1:5" ht="25.5" customHeight="1" thickBot="1" x14ac:dyDescent="0.3">
      <c r="A5" s="32"/>
      <c r="B5" s="19"/>
      <c r="C5" s="15"/>
      <c r="D5" s="15"/>
    </row>
    <row r="6" spans="1:5" ht="28.5" customHeight="1" thickBot="1" x14ac:dyDescent="0.3">
      <c r="A6" s="72" t="s">
        <v>507</v>
      </c>
      <c r="B6" s="72" t="s">
        <v>508</v>
      </c>
      <c r="C6" s="15"/>
      <c r="D6" s="15"/>
    </row>
    <row r="7" spans="1:5" ht="52.5" customHeight="1" thickBot="1" x14ac:dyDescent="0.3">
      <c r="A7" s="68" t="s">
        <v>236</v>
      </c>
      <c r="B7" s="69" t="s">
        <v>344</v>
      </c>
      <c r="C7" s="15"/>
      <c r="D7" s="15"/>
    </row>
    <row r="8" spans="1:5" ht="28.5" customHeight="1" thickBot="1" x14ac:dyDescent="0.3">
      <c r="A8" s="68" t="s">
        <v>237</v>
      </c>
      <c r="B8" s="69" t="s">
        <v>345</v>
      </c>
      <c r="C8" s="15"/>
      <c r="D8" s="15"/>
    </row>
    <row r="9" spans="1:5" ht="32.25" customHeight="1" thickBot="1" x14ac:dyDescent="0.3">
      <c r="A9" s="68" t="s">
        <v>238</v>
      </c>
      <c r="B9" s="69" t="s">
        <v>346</v>
      </c>
      <c r="C9" s="15"/>
      <c r="D9" s="15"/>
    </row>
    <row r="10" spans="1:5" ht="30.75" customHeight="1" thickBot="1" x14ac:dyDescent="0.3">
      <c r="A10" s="68" t="s">
        <v>239</v>
      </c>
      <c r="B10" s="69" t="s">
        <v>347</v>
      </c>
      <c r="C10" s="15"/>
      <c r="D10" s="15"/>
    </row>
    <row r="11" spans="1:5" ht="30" customHeight="1" thickBot="1" x14ac:dyDescent="0.3">
      <c r="A11" s="68" t="s">
        <v>240</v>
      </c>
      <c r="B11" s="69" t="s">
        <v>348</v>
      </c>
      <c r="C11" s="15"/>
      <c r="D11" s="15"/>
    </row>
    <row r="12" spans="1:5" ht="45.75" thickBot="1" x14ac:dyDescent="0.3">
      <c r="A12" s="68" t="s">
        <v>241</v>
      </c>
      <c r="B12" s="69" t="s">
        <v>349</v>
      </c>
    </row>
    <row r="13" spans="1:5" ht="30.75" thickBot="1" x14ac:dyDescent="0.3">
      <c r="A13" s="68" t="s">
        <v>242</v>
      </c>
      <c r="B13" s="69" t="s">
        <v>350</v>
      </c>
    </row>
    <row r="14" spans="1:5" ht="30.75" thickBot="1" x14ac:dyDescent="0.3">
      <c r="A14" s="68" t="s">
        <v>243</v>
      </c>
      <c r="B14" s="69" t="s">
        <v>351</v>
      </c>
    </row>
    <row r="15" spans="1:5" ht="90.75" thickBot="1" x14ac:dyDescent="0.3">
      <c r="A15" s="68" t="s">
        <v>244</v>
      </c>
      <c r="B15" s="69" t="s">
        <v>352</v>
      </c>
    </row>
    <row r="16" spans="1:5" ht="30.75" thickBot="1" x14ac:dyDescent="0.3">
      <c r="A16" s="68" t="s">
        <v>245</v>
      </c>
      <c r="B16" s="69" t="s">
        <v>353</v>
      </c>
    </row>
    <row r="17" spans="1:2" ht="45.75" thickBot="1" x14ac:dyDescent="0.3">
      <c r="A17" s="68" t="s">
        <v>246</v>
      </c>
      <c r="B17" s="69" t="s">
        <v>354</v>
      </c>
    </row>
    <row r="18" spans="1:2" ht="30.75" thickBot="1" x14ac:dyDescent="0.3">
      <c r="A18" s="68" t="s">
        <v>247</v>
      </c>
      <c r="B18" s="69" t="s">
        <v>355</v>
      </c>
    </row>
    <row r="19" spans="1:2" ht="30.75" thickBot="1" x14ac:dyDescent="0.3">
      <c r="A19" s="68" t="s">
        <v>248</v>
      </c>
      <c r="B19" s="69" t="s">
        <v>356</v>
      </c>
    </row>
    <row r="20" spans="1:2" ht="30.75" thickBot="1" x14ac:dyDescent="0.3">
      <c r="A20" s="68" t="s">
        <v>249</v>
      </c>
      <c r="B20" s="69" t="s">
        <v>357</v>
      </c>
    </row>
    <row r="21" spans="1:2" ht="30.75" thickBot="1" x14ac:dyDescent="0.3">
      <c r="A21" s="68" t="s">
        <v>250</v>
      </c>
      <c r="B21" s="69" t="s">
        <v>358</v>
      </c>
    </row>
    <row r="22" spans="1:2" ht="30.75" thickBot="1" x14ac:dyDescent="0.3">
      <c r="A22" s="68" t="s">
        <v>251</v>
      </c>
      <c r="B22" s="69" t="s">
        <v>359</v>
      </c>
    </row>
    <row r="23" spans="1:2" ht="15.75" thickBot="1" x14ac:dyDescent="0.3">
      <c r="A23" s="68" t="s">
        <v>252</v>
      </c>
      <c r="B23" s="69" t="s">
        <v>360</v>
      </c>
    </row>
    <row r="24" spans="1:2" ht="75.75" thickBot="1" x14ac:dyDescent="0.3">
      <c r="A24" s="68" t="s">
        <v>253</v>
      </c>
      <c r="B24" s="69" t="s">
        <v>361</v>
      </c>
    </row>
    <row r="25" spans="1:2" ht="60.75" thickBot="1" x14ac:dyDescent="0.3">
      <c r="A25" s="68" t="s">
        <v>254</v>
      </c>
      <c r="B25" s="69" t="s">
        <v>362</v>
      </c>
    </row>
    <row r="26" spans="1:2" ht="105.75" thickBot="1" x14ac:dyDescent="0.3">
      <c r="A26" s="68" t="s">
        <v>255</v>
      </c>
      <c r="B26" s="69" t="s">
        <v>363</v>
      </c>
    </row>
    <row r="27" spans="1:2" ht="45.75" thickBot="1" x14ac:dyDescent="0.3">
      <c r="A27" s="68" t="s">
        <v>256</v>
      </c>
      <c r="B27" s="69" t="s">
        <v>364</v>
      </c>
    </row>
    <row r="28" spans="1:2" ht="195.75" thickBot="1" x14ac:dyDescent="0.3">
      <c r="A28" s="68" t="s">
        <v>257</v>
      </c>
      <c r="B28" s="69" t="s">
        <v>365</v>
      </c>
    </row>
    <row r="29" spans="1:2" ht="45.75" thickBot="1" x14ac:dyDescent="0.3">
      <c r="A29" s="68" t="s">
        <v>258</v>
      </c>
      <c r="B29" s="69" t="s">
        <v>366</v>
      </c>
    </row>
    <row r="30" spans="1:2" ht="45.75" thickBot="1" x14ac:dyDescent="0.3">
      <c r="A30" s="68" t="s">
        <v>259</v>
      </c>
      <c r="B30" s="69" t="s">
        <v>367</v>
      </c>
    </row>
    <row r="31" spans="1:2" ht="45.75" thickBot="1" x14ac:dyDescent="0.3">
      <c r="A31" s="68" t="s">
        <v>228</v>
      </c>
      <c r="B31" s="69" t="s">
        <v>368</v>
      </c>
    </row>
    <row r="32" spans="1:2" ht="90.75" thickBot="1" x14ac:dyDescent="0.3">
      <c r="A32" s="68" t="s">
        <v>260</v>
      </c>
      <c r="B32" s="69" t="s">
        <v>369</v>
      </c>
    </row>
    <row r="33" spans="1:2" ht="60.75" thickBot="1" x14ac:dyDescent="0.3">
      <c r="A33" s="68" t="s">
        <v>261</v>
      </c>
      <c r="B33" s="69" t="s">
        <v>370</v>
      </c>
    </row>
    <row r="34" spans="1:2" ht="90.75" thickBot="1" x14ac:dyDescent="0.3">
      <c r="A34" s="68" t="s">
        <v>262</v>
      </c>
      <c r="B34" s="69" t="s">
        <v>371</v>
      </c>
    </row>
    <row r="35" spans="1:2" ht="75.75" thickBot="1" x14ac:dyDescent="0.3">
      <c r="A35" s="68" t="s">
        <v>263</v>
      </c>
      <c r="B35" s="69" t="s">
        <v>372</v>
      </c>
    </row>
    <row r="36" spans="1:2" ht="30.75" thickBot="1" x14ac:dyDescent="0.3">
      <c r="A36" s="68" t="s">
        <v>264</v>
      </c>
      <c r="B36" s="69" t="s">
        <v>373</v>
      </c>
    </row>
    <row r="37" spans="1:2" ht="45.75" thickBot="1" x14ac:dyDescent="0.3">
      <c r="A37" s="68" t="s">
        <v>224</v>
      </c>
      <c r="B37" s="69" t="s">
        <v>374</v>
      </c>
    </row>
    <row r="38" spans="1:2" ht="45.75" thickBot="1" x14ac:dyDescent="0.3">
      <c r="A38" s="68" t="s">
        <v>265</v>
      </c>
      <c r="B38" s="69" t="s">
        <v>375</v>
      </c>
    </row>
    <row r="39" spans="1:2" ht="30.75" thickBot="1" x14ac:dyDescent="0.3">
      <c r="A39" s="68" t="s">
        <v>266</v>
      </c>
      <c r="B39" s="69" t="s">
        <v>376</v>
      </c>
    </row>
    <row r="40" spans="1:2" ht="75.75" thickBot="1" x14ac:dyDescent="0.3">
      <c r="A40" s="68" t="s">
        <v>267</v>
      </c>
      <c r="B40" s="69" t="s">
        <v>377</v>
      </c>
    </row>
    <row r="41" spans="1:2" ht="45.75" thickBot="1" x14ac:dyDescent="0.3">
      <c r="A41" s="68" t="s">
        <v>268</v>
      </c>
      <c r="B41" s="69" t="s">
        <v>378</v>
      </c>
    </row>
    <row r="42" spans="1:2" ht="15.75" thickBot="1" x14ac:dyDescent="0.3">
      <c r="A42" s="68" t="s">
        <v>269</v>
      </c>
      <c r="B42" s="69" t="s">
        <v>379</v>
      </c>
    </row>
    <row r="43" spans="1:2" ht="45.75" thickBot="1" x14ac:dyDescent="0.3">
      <c r="A43" s="68" t="s">
        <v>270</v>
      </c>
      <c r="B43" s="69" t="s">
        <v>380</v>
      </c>
    </row>
    <row r="44" spans="1:2" ht="30.75" thickBot="1" x14ac:dyDescent="0.3">
      <c r="A44" s="68" t="s">
        <v>229</v>
      </c>
      <c r="B44" s="69" t="s">
        <v>381</v>
      </c>
    </row>
    <row r="45" spans="1:2" ht="15.75" thickBot="1" x14ac:dyDescent="0.3">
      <c r="A45" s="68" t="s">
        <v>251</v>
      </c>
      <c r="B45" s="69" t="s">
        <v>382</v>
      </c>
    </row>
    <row r="46" spans="1:2" ht="165.75" thickBot="1" x14ac:dyDescent="0.3">
      <c r="A46" s="68" t="s">
        <v>271</v>
      </c>
      <c r="B46" s="69" t="s">
        <v>383</v>
      </c>
    </row>
    <row r="47" spans="1:2" ht="165.75" thickBot="1" x14ac:dyDescent="0.3">
      <c r="A47" s="68" t="s">
        <v>272</v>
      </c>
      <c r="B47" s="69" t="s">
        <v>384</v>
      </c>
    </row>
    <row r="48" spans="1:2" ht="30.75" thickBot="1" x14ac:dyDescent="0.3">
      <c r="A48" s="68" t="s">
        <v>273</v>
      </c>
      <c r="B48" s="69" t="s">
        <v>385</v>
      </c>
    </row>
    <row r="49" spans="1:2" ht="75.75" thickBot="1" x14ac:dyDescent="0.3">
      <c r="A49" s="68" t="s">
        <v>274</v>
      </c>
      <c r="B49" s="69" t="s">
        <v>386</v>
      </c>
    </row>
    <row r="50" spans="1:2" ht="90.75" thickBot="1" x14ac:dyDescent="0.3">
      <c r="A50" s="68" t="s">
        <v>275</v>
      </c>
      <c r="B50" s="69" t="s">
        <v>387</v>
      </c>
    </row>
    <row r="51" spans="1:2" ht="30.75" thickBot="1" x14ac:dyDescent="0.3">
      <c r="A51" s="68" t="s">
        <v>276</v>
      </c>
      <c r="B51" s="69" t="s">
        <v>388</v>
      </c>
    </row>
    <row r="52" spans="1:2" ht="15.75" thickBot="1" x14ac:dyDescent="0.3">
      <c r="A52" s="68" t="s">
        <v>277</v>
      </c>
      <c r="B52" s="69" t="s">
        <v>389</v>
      </c>
    </row>
    <row r="53" spans="1:2" ht="75.75" thickBot="1" x14ac:dyDescent="0.3">
      <c r="A53" s="68" t="s">
        <v>278</v>
      </c>
      <c r="B53" s="69" t="s">
        <v>390</v>
      </c>
    </row>
    <row r="54" spans="1:2" ht="60.75" thickBot="1" x14ac:dyDescent="0.3">
      <c r="A54" s="68" t="s">
        <v>279</v>
      </c>
      <c r="B54" s="69" t="s">
        <v>391</v>
      </c>
    </row>
    <row r="55" spans="1:2" ht="60.75" thickBot="1" x14ac:dyDescent="0.3">
      <c r="A55" s="68" t="s">
        <v>280</v>
      </c>
      <c r="B55" s="69" t="s">
        <v>392</v>
      </c>
    </row>
    <row r="56" spans="1:2" ht="90.75" thickBot="1" x14ac:dyDescent="0.3">
      <c r="A56" s="68" t="s">
        <v>281</v>
      </c>
      <c r="B56" s="69" t="s">
        <v>393</v>
      </c>
    </row>
    <row r="57" spans="1:2" ht="60.75" thickBot="1" x14ac:dyDescent="0.3">
      <c r="A57" s="68" t="s">
        <v>282</v>
      </c>
      <c r="B57" s="69" t="s">
        <v>394</v>
      </c>
    </row>
    <row r="58" spans="1:2" ht="75.75" thickBot="1" x14ac:dyDescent="0.3">
      <c r="A58" s="68" t="s">
        <v>283</v>
      </c>
      <c r="B58" s="69" t="s">
        <v>395</v>
      </c>
    </row>
    <row r="59" spans="1:2" ht="15.75" thickBot="1" x14ac:dyDescent="0.3">
      <c r="A59" s="68" t="s">
        <v>284</v>
      </c>
      <c r="B59" s="69" t="s">
        <v>396</v>
      </c>
    </row>
    <row r="60" spans="1:2" ht="30.75" thickBot="1" x14ac:dyDescent="0.3">
      <c r="A60" s="68" t="s">
        <v>285</v>
      </c>
      <c r="B60" s="69" t="s">
        <v>397</v>
      </c>
    </row>
    <row r="61" spans="1:2" ht="45.75" thickBot="1" x14ac:dyDescent="0.3">
      <c r="A61" s="68" t="s">
        <v>286</v>
      </c>
      <c r="B61" s="69" t="s">
        <v>398</v>
      </c>
    </row>
    <row r="62" spans="1:2" ht="30.75" thickBot="1" x14ac:dyDescent="0.3">
      <c r="A62" s="68" t="s">
        <v>287</v>
      </c>
      <c r="B62" s="69" t="s">
        <v>399</v>
      </c>
    </row>
    <row r="63" spans="1:2" ht="75.75" thickBot="1" x14ac:dyDescent="0.3">
      <c r="A63" s="68" t="s">
        <v>288</v>
      </c>
      <c r="B63" s="69" t="s">
        <v>400</v>
      </c>
    </row>
    <row r="64" spans="1:2" ht="45.75" thickBot="1" x14ac:dyDescent="0.3">
      <c r="A64" s="68" t="s">
        <v>289</v>
      </c>
      <c r="B64" s="69" t="s">
        <v>401</v>
      </c>
    </row>
    <row r="65" spans="1:2" ht="30.75" thickBot="1" x14ac:dyDescent="0.3">
      <c r="A65" s="68" t="s">
        <v>290</v>
      </c>
      <c r="B65" s="69" t="s">
        <v>402</v>
      </c>
    </row>
    <row r="66" spans="1:2" ht="45.75" thickBot="1" x14ac:dyDescent="0.3">
      <c r="A66" s="68" t="s">
        <v>269</v>
      </c>
      <c r="B66" s="69" t="s">
        <v>403</v>
      </c>
    </row>
    <row r="67" spans="1:2" ht="75.75" thickBot="1" x14ac:dyDescent="0.3">
      <c r="A67" s="68" t="s">
        <v>2</v>
      </c>
      <c r="B67" s="69" t="s">
        <v>404</v>
      </c>
    </row>
    <row r="68" spans="1:2" ht="75.75" thickBot="1" x14ac:dyDescent="0.3">
      <c r="A68" s="68" t="s">
        <v>291</v>
      </c>
      <c r="B68" s="69" t="s">
        <v>405</v>
      </c>
    </row>
    <row r="69" spans="1:2" ht="60.75" thickBot="1" x14ac:dyDescent="0.3">
      <c r="A69" s="68" t="s">
        <v>292</v>
      </c>
      <c r="B69" s="69" t="s">
        <v>406</v>
      </c>
    </row>
    <row r="70" spans="1:2" ht="75.75" thickBot="1" x14ac:dyDescent="0.3">
      <c r="A70" s="68" t="s">
        <v>293</v>
      </c>
      <c r="B70" s="69" t="s">
        <v>407</v>
      </c>
    </row>
    <row r="71" spans="1:2" ht="45.75" thickBot="1" x14ac:dyDescent="0.3">
      <c r="A71" s="68" t="s">
        <v>294</v>
      </c>
      <c r="B71" s="69" t="s">
        <v>408</v>
      </c>
    </row>
    <row r="72" spans="1:2" ht="120.75" thickBot="1" x14ac:dyDescent="0.3">
      <c r="A72" s="68" t="s">
        <v>295</v>
      </c>
      <c r="B72" s="69" t="s">
        <v>409</v>
      </c>
    </row>
    <row r="73" spans="1:2" ht="45.75" thickBot="1" x14ac:dyDescent="0.3">
      <c r="A73" s="68" t="s">
        <v>296</v>
      </c>
      <c r="B73" s="69" t="s">
        <v>410</v>
      </c>
    </row>
    <row r="74" spans="1:2" ht="45.75" thickBot="1" x14ac:dyDescent="0.3">
      <c r="A74" s="68" t="s">
        <v>297</v>
      </c>
      <c r="B74" s="69" t="s">
        <v>411</v>
      </c>
    </row>
    <row r="75" spans="1:2" ht="60.75" thickBot="1" x14ac:dyDescent="0.3">
      <c r="A75" s="68" t="s">
        <v>298</v>
      </c>
      <c r="B75" s="69" t="s">
        <v>412</v>
      </c>
    </row>
    <row r="76" spans="1:2" ht="45.75" thickBot="1" x14ac:dyDescent="0.3">
      <c r="A76" s="68" t="s">
        <v>299</v>
      </c>
      <c r="B76" s="69" t="s">
        <v>413</v>
      </c>
    </row>
    <row r="77" spans="1:2" ht="30.75" thickBot="1" x14ac:dyDescent="0.3">
      <c r="A77" s="68" t="s">
        <v>300</v>
      </c>
      <c r="B77" s="69" t="s">
        <v>414</v>
      </c>
    </row>
    <row r="78" spans="1:2" ht="90.75" thickBot="1" x14ac:dyDescent="0.3">
      <c r="A78" s="68" t="s">
        <v>301</v>
      </c>
      <c r="B78" s="69" t="s">
        <v>415</v>
      </c>
    </row>
    <row r="79" spans="1:2" ht="45.75" thickBot="1" x14ac:dyDescent="0.3">
      <c r="A79" s="68" t="s">
        <v>302</v>
      </c>
      <c r="B79" s="69" t="s">
        <v>416</v>
      </c>
    </row>
    <row r="80" spans="1:2" ht="45.75" thickBot="1" x14ac:dyDescent="0.3">
      <c r="A80" s="68" t="s">
        <v>303</v>
      </c>
      <c r="B80" s="69" t="s">
        <v>417</v>
      </c>
    </row>
    <row r="81" spans="1:2" ht="45.75" thickBot="1" x14ac:dyDescent="0.3">
      <c r="A81" s="68" t="s">
        <v>304</v>
      </c>
      <c r="B81" s="69" t="s">
        <v>418</v>
      </c>
    </row>
    <row r="82" spans="1:2" ht="105.75" thickBot="1" x14ac:dyDescent="0.3">
      <c r="A82" s="68" t="s">
        <v>305</v>
      </c>
      <c r="B82" s="69" t="s">
        <v>419</v>
      </c>
    </row>
    <row r="83" spans="1:2" ht="30.75" thickBot="1" x14ac:dyDescent="0.3">
      <c r="A83" s="68" t="s">
        <v>306</v>
      </c>
      <c r="B83" s="69" t="s">
        <v>420</v>
      </c>
    </row>
    <row r="84" spans="1:2" ht="30.75" thickBot="1" x14ac:dyDescent="0.3">
      <c r="A84" s="68" t="s">
        <v>307</v>
      </c>
      <c r="B84" s="69" t="s">
        <v>421</v>
      </c>
    </row>
    <row r="85" spans="1:2" ht="30.75" thickBot="1" x14ac:dyDescent="0.3">
      <c r="A85" s="68" t="s">
        <v>223</v>
      </c>
      <c r="B85" s="69" t="s">
        <v>422</v>
      </c>
    </row>
    <row r="86" spans="1:2" ht="45.75" thickBot="1" x14ac:dyDescent="0.3">
      <c r="A86" s="68" t="s">
        <v>308</v>
      </c>
      <c r="B86" s="69" t="s">
        <v>423</v>
      </c>
    </row>
    <row r="87" spans="1:2" ht="45.75" thickBot="1" x14ac:dyDescent="0.3">
      <c r="A87" s="68" t="s">
        <v>309</v>
      </c>
      <c r="B87" s="69" t="s">
        <v>424</v>
      </c>
    </row>
    <row r="88" spans="1:2" ht="15.75" thickBot="1" x14ac:dyDescent="0.3">
      <c r="A88" s="68" t="s">
        <v>310</v>
      </c>
      <c r="B88" s="69" t="s">
        <v>425</v>
      </c>
    </row>
    <row r="89" spans="1:2" ht="30.75" thickBot="1" x14ac:dyDescent="0.3">
      <c r="A89" s="68" t="s">
        <v>311</v>
      </c>
      <c r="B89" s="69" t="s">
        <v>426</v>
      </c>
    </row>
    <row r="90" spans="1:2" ht="30.75" thickBot="1" x14ac:dyDescent="0.3">
      <c r="A90" s="68" t="s">
        <v>312</v>
      </c>
      <c r="B90" s="69" t="s">
        <v>427</v>
      </c>
    </row>
    <row r="91" spans="1:2" ht="30.75" thickBot="1" x14ac:dyDescent="0.3">
      <c r="A91" s="68" t="s">
        <v>313</v>
      </c>
      <c r="B91" s="69" t="s">
        <v>428</v>
      </c>
    </row>
    <row r="92" spans="1:2" ht="45.75" thickBot="1" x14ac:dyDescent="0.3">
      <c r="A92" s="68" t="s">
        <v>314</v>
      </c>
      <c r="B92" s="69" t="s">
        <v>429</v>
      </c>
    </row>
    <row r="93" spans="1:2" ht="45.75" thickBot="1" x14ac:dyDescent="0.3">
      <c r="A93" s="68" t="s">
        <v>315</v>
      </c>
      <c r="B93" s="69" t="s">
        <v>430</v>
      </c>
    </row>
    <row r="94" spans="1:2" ht="135.75" thickBot="1" x14ac:dyDescent="0.3">
      <c r="A94" s="68" t="s">
        <v>316</v>
      </c>
      <c r="B94" s="69" t="s">
        <v>431</v>
      </c>
    </row>
    <row r="95" spans="1:2" ht="60.75" thickBot="1" x14ac:dyDescent="0.3">
      <c r="A95" s="68" t="s">
        <v>317</v>
      </c>
      <c r="B95" s="69" t="s">
        <v>432</v>
      </c>
    </row>
    <row r="96" spans="1:2" ht="15.75" thickBot="1" x14ac:dyDescent="0.3">
      <c r="A96" s="68" t="s">
        <v>318</v>
      </c>
      <c r="B96" s="69" t="s">
        <v>433</v>
      </c>
    </row>
    <row r="97" spans="1:2" ht="75.75" thickBot="1" x14ac:dyDescent="0.3">
      <c r="A97" s="68" t="s">
        <v>319</v>
      </c>
      <c r="B97" s="69" t="s">
        <v>434</v>
      </c>
    </row>
    <row r="98" spans="1:2" ht="15.75" thickBot="1" x14ac:dyDescent="0.3">
      <c r="A98" s="68" t="s">
        <v>320</v>
      </c>
      <c r="B98" s="69" t="s">
        <v>435</v>
      </c>
    </row>
    <row r="99" spans="1:2" ht="30.75" thickBot="1" x14ac:dyDescent="0.3">
      <c r="A99" s="68" t="s">
        <v>321</v>
      </c>
      <c r="B99" s="69" t="s">
        <v>436</v>
      </c>
    </row>
    <row r="100" spans="1:2" ht="15.75" thickBot="1" x14ac:dyDescent="0.3">
      <c r="A100" s="68" t="s">
        <v>322</v>
      </c>
      <c r="B100" s="69" t="s">
        <v>437</v>
      </c>
    </row>
    <row r="101" spans="1:2" ht="60.75" thickBot="1" x14ac:dyDescent="0.3">
      <c r="A101" s="68" t="s">
        <v>323</v>
      </c>
      <c r="B101" s="69" t="s">
        <v>438</v>
      </c>
    </row>
    <row r="102" spans="1:2" ht="30.75" thickBot="1" x14ac:dyDescent="0.3">
      <c r="A102" s="68" t="s">
        <v>324</v>
      </c>
      <c r="B102" s="69" t="s">
        <v>439</v>
      </c>
    </row>
    <row r="103" spans="1:2" ht="30.75" thickBot="1" x14ac:dyDescent="0.3">
      <c r="A103" s="68" t="s">
        <v>325</v>
      </c>
      <c r="B103" s="69" t="s">
        <v>440</v>
      </c>
    </row>
    <row r="104" spans="1:2" ht="30.75" thickBot="1" x14ac:dyDescent="0.3">
      <c r="A104" s="68" t="s">
        <v>227</v>
      </c>
      <c r="B104" s="69" t="s">
        <v>441</v>
      </c>
    </row>
    <row r="105" spans="1:2" ht="30.75" thickBot="1" x14ac:dyDescent="0.3">
      <c r="A105" s="68" t="s">
        <v>326</v>
      </c>
      <c r="B105" s="69" t="s">
        <v>442</v>
      </c>
    </row>
    <row r="106" spans="1:2" ht="30.75" thickBot="1" x14ac:dyDescent="0.3">
      <c r="A106" s="68" t="s">
        <v>327</v>
      </c>
      <c r="B106" s="69" t="s">
        <v>443</v>
      </c>
    </row>
    <row r="107" spans="1:2" ht="75.75" thickBot="1" x14ac:dyDescent="0.3">
      <c r="A107" s="68" t="s">
        <v>328</v>
      </c>
      <c r="B107" s="69" t="s">
        <v>444</v>
      </c>
    </row>
    <row r="108" spans="1:2" ht="90.75" thickBot="1" x14ac:dyDescent="0.3">
      <c r="A108" s="68" t="s">
        <v>329</v>
      </c>
      <c r="B108" s="69" t="s">
        <v>445</v>
      </c>
    </row>
    <row r="109" spans="1:2" ht="105.75" thickBot="1" x14ac:dyDescent="0.3">
      <c r="A109" s="68" t="s">
        <v>330</v>
      </c>
      <c r="B109" s="69" t="s">
        <v>446</v>
      </c>
    </row>
    <row r="110" spans="1:2" ht="30.75" thickBot="1" x14ac:dyDescent="0.3">
      <c r="A110" s="68" t="s">
        <v>226</v>
      </c>
      <c r="B110" s="69" t="s">
        <v>447</v>
      </c>
    </row>
    <row r="111" spans="1:2" ht="60.75" thickBot="1" x14ac:dyDescent="0.3">
      <c r="A111" s="68" t="s">
        <v>331</v>
      </c>
      <c r="B111" s="69" t="s">
        <v>448</v>
      </c>
    </row>
    <row r="112" spans="1:2" ht="75.75" thickBot="1" x14ac:dyDescent="0.3">
      <c r="A112" s="68" t="s">
        <v>332</v>
      </c>
      <c r="B112" s="69" t="s">
        <v>449</v>
      </c>
    </row>
    <row r="113" spans="1:2" ht="30.75" thickBot="1" x14ac:dyDescent="0.3">
      <c r="A113" s="68" t="s">
        <v>333</v>
      </c>
      <c r="B113" s="69" t="s">
        <v>450</v>
      </c>
    </row>
    <row r="114" spans="1:2" ht="90.75" thickBot="1" x14ac:dyDescent="0.3">
      <c r="A114" s="68" t="s">
        <v>334</v>
      </c>
      <c r="B114" s="69" t="s">
        <v>451</v>
      </c>
    </row>
    <row r="115" spans="1:2" ht="60.75" thickBot="1" x14ac:dyDescent="0.3">
      <c r="A115" s="68" t="s">
        <v>335</v>
      </c>
      <c r="B115" s="69" t="s">
        <v>452</v>
      </c>
    </row>
    <row r="116" spans="1:2" ht="15.75" thickBot="1" x14ac:dyDescent="0.3">
      <c r="A116" s="68" t="s">
        <v>182</v>
      </c>
      <c r="B116" s="69" t="s">
        <v>453</v>
      </c>
    </row>
    <row r="117" spans="1:2" ht="30.75" thickBot="1" x14ac:dyDescent="0.3">
      <c r="A117" s="68" t="s">
        <v>336</v>
      </c>
      <c r="B117" s="69" t="s">
        <v>454</v>
      </c>
    </row>
    <row r="118" spans="1:2" ht="30.75" thickBot="1" x14ac:dyDescent="0.3">
      <c r="A118" s="68" t="s">
        <v>337</v>
      </c>
      <c r="B118" s="69" t="s">
        <v>455</v>
      </c>
    </row>
    <row r="119" spans="1:2" ht="60.75" thickBot="1" x14ac:dyDescent="0.3">
      <c r="A119" s="68" t="s">
        <v>338</v>
      </c>
      <c r="B119" s="69" t="s">
        <v>456</v>
      </c>
    </row>
    <row r="120" spans="1:2" ht="45.75" thickBot="1" x14ac:dyDescent="0.3">
      <c r="A120" s="68" t="s">
        <v>339</v>
      </c>
      <c r="B120" s="69" t="s">
        <v>457</v>
      </c>
    </row>
    <row r="121" spans="1:2" ht="30.75" thickBot="1" x14ac:dyDescent="0.3">
      <c r="A121" s="68" t="s">
        <v>340</v>
      </c>
      <c r="B121" s="69" t="s">
        <v>458</v>
      </c>
    </row>
    <row r="122" spans="1:2" ht="120.75" thickBot="1" x14ac:dyDescent="0.3">
      <c r="A122" s="68" t="s">
        <v>341</v>
      </c>
      <c r="B122" s="69" t="s">
        <v>459</v>
      </c>
    </row>
    <row r="123" spans="1:2" ht="45.75" thickBot="1" x14ac:dyDescent="0.3">
      <c r="A123" s="68" t="s">
        <v>342</v>
      </c>
      <c r="B123" s="69" t="s">
        <v>460</v>
      </c>
    </row>
    <row r="124" spans="1:2" ht="98.25" customHeight="1" x14ac:dyDescent="0.25">
      <c r="A124" s="70" t="s">
        <v>343</v>
      </c>
      <c r="B124" s="71" t="s">
        <v>461</v>
      </c>
    </row>
  </sheetData>
  <conditionalFormatting sqref="D9">
    <cfRule type="containsText" dxfId="91" priority="1" operator="containsText" text="N/A">
      <formula>NOT(ISERROR(SEARCH("N/A",D9)))</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F69"/>
  <sheetViews>
    <sheetView topLeftCell="A50" zoomScaleNormal="100" workbookViewId="0">
      <selection activeCell="D6" sqref="D6"/>
    </sheetView>
  </sheetViews>
  <sheetFormatPr defaultColWidth="9.140625" defaultRowHeight="15" x14ac:dyDescent="0.25"/>
  <cols>
    <col min="1" max="1" width="55.5703125" style="43" customWidth="1"/>
    <col min="2" max="2" width="51" style="15" customWidth="1"/>
    <col min="3" max="3" width="30" style="15" customWidth="1"/>
    <col min="4" max="4" width="51.42578125" style="43" customWidth="1"/>
    <col min="5" max="5" width="36.42578125" style="15" customWidth="1"/>
    <col min="6" max="6" width="81" style="43" customWidth="1"/>
    <col min="7" max="8" width="9.140625" style="15"/>
    <col min="9" max="9" width="55.85546875" style="15" customWidth="1"/>
    <col min="10" max="16384" width="9.140625" style="15"/>
  </cols>
  <sheetData>
    <row r="1" spans="1:6" x14ac:dyDescent="0.25">
      <c r="A1" s="54" t="s">
        <v>230</v>
      </c>
      <c r="B1" s="67"/>
      <c r="C1" s="55"/>
      <c r="D1" s="56"/>
      <c r="E1" s="55"/>
      <c r="F1" s="57"/>
    </row>
    <row r="2" spans="1:6" ht="15.75" thickBot="1" x14ac:dyDescent="0.3">
      <c r="A2" s="52" t="s">
        <v>232</v>
      </c>
      <c r="B2" s="46" t="s">
        <v>233</v>
      </c>
      <c r="C2" s="46" t="s">
        <v>234</v>
      </c>
      <c r="D2" s="47" t="s">
        <v>231</v>
      </c>
      <c r="E2" s="46" t="s">
        <v>503</v>
      </c>
      <c r="F2" s="62" t="s">
        <v>504</v>
      </c>
    </row>
    <row r="3" spans="1:6" ht="15.75" thickBot="1" x14ac:dyDescent="0.3">
      <c r="A3" s="53" t="s">
        <v>672</v>
      </c>
      <c r="B3" s="44" t="s">
        <v>673</v>
      </c>
      <c r="C3" s="44" t="s">
        <v>674</v>
      </c>
      <c r="D3" s="45" t="s">
        <v>672</v>
      </c>
      <c r="E3" s="44"/>
      <c r="F3" s="84" t="str">
        <f>CONCATENATE(Table1[[#This Row],[Meter Name]]," - ",Table1[[#This Row],[Independent/Campus Meter]])</f>
        <v xml:space="preserve">09589000114 - MD RT 388 TOM NICHOLS RD - </v>
      </c>
    </row>
    <row r="4" spans="1:6" ht="15.75" thickBot="1" x14ac:dyDescent="0.3">
      <c r="A4" s="53" t="s">
        <v>597</v>
      </c>
      <c r="B4" s="44" t="s">
        <v>602</v>
      </c>
      <c r="C4" s="44" t="s">
        <v>603</v>
      </c>
      <c r="D4" s="45" t="s">
        <v>662</v>
      </c>
      <c r="E4" s="44"/>
      <c r="F4" s="84" t="str">
        <f>CONCATENATE(Table1[[#This Row],[Meter Name]]," - ",Table1[[#This Row],[Independent/Campus Meter]])</f>
        <v xml:space="preserve">1445300 - MARKSMAN FARM OFFICE - </v>
      </c>
    </row>
    <row r="5" spans="1:6" ht="15.75" thickBot="1" x14ac:dyDescent="0.3">
      <c r="A5" s="53" t="s">
        <v>670</v>
      </c>
      <c r="B5" s="44" t="s">
        <v>602</v>
      </c>
      <c r="C5" s="44" t="s">
        <v>603</v>
      </c>
      <c r="D5" s="45" t="s">
        <v>671</v>
      </c>
      <c r="E5" s="44"/>
      <c r="F5" s="84" t="str">
        <f>CONCATENATE(Table1[[#This Row],[Meter Name]]," - ",Table1[[#This Row],[Independent/Campus Meter]])</f>
        <v xml:space="preserve">1886102 - GreenHouse - </v>
      </c>
    </row>
    <row r="6" spans="1:6" ht="15.75" thickBot="1" x14ac:dyDescent="0.3">
      <c r="A6" s="53" t="s">
        <v>675</v>
      </c>
      <c r="B6" s="44" t="s">
        <v>601</v>
      </c>
      <c r="C6" s="44" t="s">
        <v>601</v>
      </c>
      <c r="D6" s="45" t="s">
        <v>676</v>
      </c>
      <c r="E6" s="44"/>
      <c r="F6" s="84" t="str">
        <f>CONCATENATE(Table1[[#This Row],[Meter Name]]," - ",Table1[[#This Row],[Independent/Campus Meter]])</f>
        <v xml:space="preserve">50000661251 - 10789 Stewart Neck Rd - </v>
      </c>
    </row>
    <row r="7" spans="1:6" ht="15.75" thickBot="1" x14ac:dyDescent="0.3">
      <c r="A7" s="53" t="s">
        <v>593</v>
      </c>
      <c r="B7" s="44" t="s">
        <v>601</v>
      </c>
      <c r="C7" s="44" t="s">
        <v>601</v>
      </c>
      <c r="D7" s="45" t="s">
        <v>658</v>
      </c>
      <c r="E7" s="44"/>
      <c r="F7" s="84" t="str">
        <f>CONCATENATE(Table1[[#This Row],[Meter Name]]," - ",Table1[[#This Row],[Independent/Campus Meter]])</f>
        <v xml:space="preserve">55003385337 (Central) - U Of Md Eastern Shore - </v>
      </c>
    </row>
    <row r="8" spans="1:6" ht="15.75" thickBot="1" x14ac:dyDescent="0.3">
      <c r="A8" s="53" t="s">
        <v>539</v>
      </c>
      <c r="B8" s="44" t="s">
        <v>601</v>
      </c>
      <c r="C8" s="44" t="s">
        <v>601</v>
      </c>
      <c r="D8" s="45" t="s">
        <v>604</v>
      </c>
      <c r="E8" s="44"/>
      <c r="F8" s="84" t="str">
        <f>CONCATENATE(Table1[[#This Row],[Meter Name]]," - ",Table1[[#This Row],[Independent/Campus Meter]])</f>
        <v xml:space="preserve">55003538042 - College Backbone Rd - </v>
      </c>
    </row>
    <row r="9" spans="1:6" ht="15.75" thickBot="1" x14ac:dyDescent="0.3">
      <c r="A9" s="53" t="s">
        <v>540</v>
      </c>
      <c r="B9" s="44" t="s">
        <v>601</v>
      </c>
      <c r="C9" s="44" t="s">
        <v>601</v>
      </c>
      <c r="D9" s="45" t="s">
        <v>605</v>
      </c>
      <c r="E9" s="44"/>
      <c r="F9" s="84" t="str">
        <f>CONCATENATE(Table1[[#This Row],[Meter Name]]," - ",Table1[[#This Row],[Independent/Campus Meter]])</f>
        <v xml:space="preserve">55003538745 - 11850 Tom Nichols Rd - </v>
      </c>
    </row>
    <row r="10" spans="1:6" ht="15.75" thickBot="1" x14ac:dyDescent="0.3">
      <c r="A10" s="53" t="s">
        <v>541</v>
      </c>
      <c r="B10" s="44" t="s">
        <v>601</v>
      </c>
      <c r="C10" s="44" t="s">
        <v>601</v>
      </c>
      <c r="D10" s="45" t="s">
        <v>606</v>
      </c>
      <c r="E10" s="44"/>
      <c r="F10" s="63" t="str">
        <f>CONCATENATE(Table1[[#This Row],[Meter Name]]," - ",Table1[[#This Row],[Independent/Campus Meter]])</f>
        <v xml:space="preserve">55006452258 - College Rd - </v>
      </c>
    </row>
    <row r="11" spans="1:6" ht="15.75" thickBot="1" x14ac:dyDescent="0.3">
      <c r="A11" s="53" t="s">
        <v>542</v>
      </c>
      <c r="B11" s="44" t="s">
        <v>601</v>
      </c>
      <c r="C11" s="44" t="s">
        <v>601</v>
      </c>
      <c r="D11" s="45" t="s">
        <v>607</v>
      </c>
      <c r="E11" s="44"/>
      <c r="F11" s="84" t="str">
        <f>CONCATENATE(Table1[[#This Row],[Meter Name]]," - ",Table1[[#This Row],[Independent/Campus Meter]])</f>
        <v xml:space="preserve">55007284346 - 11850 Tom Nichols Rd - </v>
      </c>
    </row>
    <row r="12" spans="1:6" ht="15.75" thickBot="1" x14ac:dyDescent="0.3">
      <c r="A12" s="53" t="s">
        <v>543</v>
      </c>
      <c r="B12" s="44" t="s">
        <v>601</v>
      </c>
      <c r="C12" s="44" t="s">
        <v>601</v>
      </c>
      <c r="D12" s="45" t="s">
        <v>608</v>
      </c>
      <c r="E12" s="44"/>
      <c r="F12" s="84" t="str">
        <f>CONCATENATE(Table1[[#This Row],[Meter Name]]," - ",Table1[[#This Row],[Independent/Campus Meter]])</f>
        <v xml:space="preserve">55007354149 - 30578 Broad St - </v>
      </c>
    </row>
    <row r="13" spans="1:6" ht="15.75" thickBot="1" x14ac:dyDescent="0.3">
      <c r="A13" s="53" t="s">
        <v>544</v>
      </c>
      <c r="B13" s="44" t="s">
        <v>601</v>
      </c>
      <c r="C13" s="44" t="s">
        <v>601</v>
      </c>
      <c r="D13" s="45" t="s">
        <v>609</v>
      </c>
      <c r="E13" s="44"/>
      <c r="F13" s="84" t="str">
        <f>CONCATENATE(Table1[[#This Row],[Meter Name]]," - ",Table1[[#This Row],[Independent/Campus Meter]])</f>
        <v xml:space="preserve">55007354958 - 30578 Broad St - </v>
      </c>
    </row>
    <row r="14" spans="1:6" ht="15.75" thickBot="1" x14ac:dyDescent="0.3">
      <c r="A14" s="53" t="s">
        <v>545</v>
      </c>
      <c r="B14" s="44" t="s">
        <v>601</v>
      </c>
      <c r="C14" s="44" t="s">
        <v>601</v>
      </c>
      <c r="D14" s="45" t="s">
        <v>610</v>
      </c>
      <c r="E14" s="44"/>
      <c r="F14" s="84" t="str">
        <f>CONCATENATE(Table1[[#This Row],[Meter Name]]," - ",Table1[[#This Row],[Independent/Campus Meter]])</f>
        <v xml:space="preserve">55007355229 - 30578 Broad St - </v>
      </c>
    </row>
    <row r="15" spans="1:6" ht="15.75" thickBot="1" x14ac:dyDescent="0.3">
      <c r="A15" s="53" t="s">
        <v>546</v>
      </c>
      <c r="B15" s="44" t="s">
        <v>601</v>
      </c>
      <c r="C15" s="44" t="s">
        <v>601</v>
      </c>
      <c r="D15" s="45" t="s">
        <v>611</v>
      </c>
      <c r="E15" s="44"/>
      <c r="F15" s="84" t="str">
        <f>CONCATENATE(Table1[[#This Row],[Meter Name]]," - ",Table1[[#This Row],[Independent/Campus Meter]])</f>
        <v xml:space="preserve">55007356193 - 30578 Broad St - </v>
      </c>
    </row>
    <row r="16" spans="1:6" ht="15.75" thickBot="1" x14ac:dyDescent="0.3">
      <c r="A16" s="53" t="s">
        <v>547</v>
      </c>
      <c r="B16" s="44" t="s">
        <v>601</v>
      </c>
      <c r="C16" s="44" t="s">
        <v>601</v>
      </c>
      <c r="D16" s="45" t="s">
        <v>612</v>
      </c>
      <c r="E16" s="44"/>
      <c r="F16" s="84" t="str">
        <f>CONCATENATE(Table1[[#This Row],[Meter Name]]," - ",Table1[[#This Row],[Independent/Campus Meter]])</f>
        <v xml:space="preserve">55007356490 - 30578 Broad St - </v>
      </c>
    </row>
    <row r="17" spans="1:6" ht="15.75" thickBot="1" x14ac:dyDescent="0.3">
      <c r="A17" s="53" t="s">
        <v>548</v>
      </c>
      <c r="B17" s="44" t="s">
        <v>601</v>
      </c>
      <c r="C17" s="44" t="s">
        <v>601</v>
      </c>
      <c r="D17" s="45" t="s">
        <v>613</v>
      </c>
      <c r="E17" s="44"/>
      <c r="F17" s="84" t="str">
        <f>CONCATENATE(Table1[[#This Row],[Meter Name]]," - ",Table1[[#This Row],[Independent/Campus Meter]])</f>
        <v xml:space="preserve">55007356888 - 30578 Broad St - </v>
      </c>
    </row>
    <row r="18" spans="1:6" ht="15.75" thickBot="1" x14ac:dyDescent="0.3">
      <c r="A18" s="53" t="s">
        <v>549</v>
      </c>
      <c r="B18" s="44" t="s">
        <v>601</v>
      </c>
      <c r="C18" s="44" t="s">
        <v>601</v>
      </c>
      <c r="D18" s="45" t="s">
        <v>614</v>
      </c>
      <c r="E18" s="44"/>
      <c r="F18" s="84" t="str">
        <f>CONCATENATE(Table1[[#This Row],[Meter Name]]," - ",Table1[[#This Row],[Independent/Campus Meter]])</f>
        <v xml:space="preserve">55007357266 - 30578 Broad St - </v>
      </c>
    </row>
    <row r="19" spans="1:6" ht="15.75" thickBot="1" x14ac:dyDescent="0.3">
      <c r="A19" s="53" t="s">
        <v>550</v>
      </c>
      <c r="B19" s="44" t="s">
        <v>601</v>
      </c>
      <c r="C19" s="44" t="s">
        <v>601</v>
      </c>
      <c r="D19" s="45" t="s">
        <v>615</v>
      </c>
      <c r="E19" s="44"/>
      <c r="F19" s="84" t="str">
        <f>CONCATENATE(Table1[[#This Row],[Meter Name]]," - ",Table1[[#This Row],[Independent/Campus Meter]])</f>
        <v xml:space="preserve">55007357837 - 30578 Broad St - </v>
      </c>
    </row>
    <row r="20" spans="1:6" ht="15.75" thickBot="1" x14ac:dyDescent="0.3">
      <c r="A20" s="53" t="s">
        <v>551</v>
      </c>
      <c r="B20" s="44" t="s">
        <v>601</v>
      </c>
      <c r="C20" s="44" t="s">
        <v>601</v>
      </c>
      <c r="D20" s="45" t="s">
        <v>616</v>
      </c>
      <c r="E20" s="44"/>
      <c r="F20" s="84" t="str">
        <f>CONCATENATE(Table1[[#This Row],[Meter Name]]," - ",Table1[[#This Row],[Independent/Campus Meter]])</f>
        <v xml:space="preserve">55007378098 - 30578 Broad St - </v>
      </c>
    </row>
    <row r="21" spans="1:6" ht="15.75" thickBot="1" x14ac:dyDescent="0.3">
      <c r="A21" s="53" t="s">
        <v>552</v>
      </c>
      <c r="B21" s="44" t="s">
        <v>601</v>
      </c>
      <c r="C21" s="44" t="s">
        <v>601</v>
      </c>
      <c r="D21" s="45" t="s">
        <v>617</v>
      </c>
      <c r="E21" s="44"/>
      <c r="F21" s="84" t="str">
        <f>CONCATENATE(Table1[[#This Row],[Meter Name]]," - ",Table1[[#This Row],[Independent/Campus Meter]])</f>
        <v xml:space="preserve">55007378445 - 30578 Broad St Apt 1521 - </v>
      </c>
    </row>
    <row r="22" spans="1:6" ht="15.75" thickBot="1" x14ac:dyDescent="0.3">
      <c r="A22" s="53" t="s">
        <v>553</v>
      </c>
      <c r="B22" s="44" t="s">
        <v>601</v>
      </c>
      <c r="C22" s="44" t="s">
        <v>601</v>
      </c>
      <c r="D22" s="45" t="s">
        <v>618</v>
      </c>
      <c r="E22" s="44"/>
      <c r="F22" s="84" t="str">
        <f>CONCATENATE(Table1[[#This Row],[Meter Name]]," - ",Table1[[#This Row],[Independent/Campus Meter]])</f>
        <v xml:space="preserve">55007378684 - 30578 Broad St - </v>
      </c>
    </row>
    <row r="23" spans="1:6" ht="15.75" thickBot="1" x14ac:dyDescent="0.3">
      <c r="A23" s="53" t="s">
        <v>554</v>
      </c>
      <c r="B23" s="44" t="s">
        <v>601</v>
      </c>
      <c r="C23" s="44" t="s">
        <v>601</v>
      </c>
      <c r="D23" s="45" t="s">
        <v>619</v>
      </c>
      <c r="E23" s="44"/>
      <c r="F23" s="84" t="str">
        <f>CONCATENATE(Table1[[#This Row],[Meter Name]]," - ",Table1[[#This Row],[Independent/Campus Meter]])</f>
        <v xml:space="preserve">55007379120 - 30578 Broad St - </v>
      </c>
    </row>
    <row r="24" spans="1:6" ht="15.75" thickBot="1" x14ac:dyDescent="0.3">
      <c r="A24" s="53" t="s">
        <v>555</v>
      </c>
      <c r="B24" s="44" t="s">
        <v>601</v>
      </c>
      <c r="C24" s="44" t="s">
        <v>601</v>
      </c>
      <c r="D24" s="45" t="s">
        <v>620</v>
      </c>
      <c r="E24" s="44"/>
      <c r="F24" s="84" t="str">
        <f>CONCATENATE(Table1[[#This Row],[Meter Name]]," - ",Table1[[#This Row],[Independent/Campus Meter]])</f>
        <v xml:space="preserve">55007379591 - 30578 Broad St - </v>
      </c>
    </row>
    <row r="25" spans="1:6" ht="15.75" thickBot="1" x14ac:dyDescent="0.3">
      <c r="A25" s="53" t="s">
        <v>556</v>
      </c>
      <c r="B25" s="44" t="s">
        <v>601</v>
      </c>
      <c r="C25" s="44" t="s">
        <v>601</v>
      </c>
      <c r="D25" s="45" t="s">
        <v>621</v>
      </c>
      <c r="E25" s="44"/>
      <c r="F25" s="84" t="str">
        <f>CONCATENATE(Table1[[#This Row],[Meter Name]]," - ",Table1[[#This Row],[Independent/Campus Meter]])</f>
        <v xml:space="preserve">55007379807 - 30578 Broad St - </v>
      </c>
    </row>
    <row r="26" spans="1:6" ht="15.75" thickBot="1" x14ac:dyDescent="0.3">
      <c r="A26" s="53" t="s">
        <v>557</v>
      </c>
      <c r="B26" s="44" t="s">
        <v>601</v>
      </c>
      <c r="C26" s="44" t="s">
        <v>601</v>
      </c>
      <c r="D26" s="45" t="s">
        <v>622</v>
      </c>
      <c r="E26" s="44"/>
      <c r="F26" s="84" t="str">
        <f>CONCATENATE(Table1[[#This Row],[Meter Name]]," - ",Table1[[#This Row],[Independent/Campus Meter]])</f>
        <v xml:space="preserve">55007380300 - 30578 Broad St - </v>
      </c>
    </row>
    <row r="27" spans="1:6" ht="15.75" thickBot="1" x14ac:dyDescent="0.3">
      <c r="A27" s="53" t="s">
        <v>558</v>
      </c>
      <c r="B27" s="44" t="s">
        <v>601</v>
      </c>
      <c r="C27" s="44" t="s">
        <v>601</v>
      </c>
      <c r="D27" s="45" t="s">
        <v>623</v>
      </c>
      <c r="E27" s="44"/>
      <c r="F27" s="84" t="str">
        <f>CONCATENATE(Table1[[#This Row],[Meter Name]]," - ",Table1[[#This Row],[Independent/Campus Meter]])</f>
        <v xml:space="preserve">55007380797 - 30578 Broad St - </v>
      </c>
    </row>
    <row r="28" spans="1:6" ht="15.75" thickBot="1" x14ac:dyDescent="0.3">
      <c r="A28" s="53" t="s">
        <v>559</v>
      </c>
      <c r="B28" s="44" t="s">
        <v>601</v>
      </c>
      <c r="C28" s="44" t="s">
        <v>601</v>
      </c>
      <c r="D28" s="45" t="s">
        <v>624</v>
      </c>
      <c r="E28" s="44"/>
      <c r="F28" s="84" t="str">
        <f>CONCATENATE(Table1[[#This Row],[Meter Name]]," - ",Table1[[#This Row],[Independent/Campus Meter]])</f>
        <v xml:space="preserve">55007380946 - 30578 Broad St - </v>
      </c>
    </row>
    <row r="29" spans="1:6" ht="15.75" thickBot="1" x14ac:dyDescent="0.3">
      <c r="A29" s="53" t="s">
        <v>560</v>
      </c>
      <c r="B29" s="44" t="s">
        <v>601</v>
      </c>
      <c r="C29" s="44" t="s">
        <v>601</v>
      </c>
      <c r="D29" s="45" t="s">
        <v>625</v>
      </c>
      <c r="E29" s="44"/>
      <c r="F29" s="84" t="str">
        <f>CONCATENATE(Table1[[#This Row],[Meter Name]]," - ",Table1[[#This Row],[Independent/Campus Meter]])</f>
        <v xml:space="preserve">55007381340 - 11811 Tom Nichols Rd - </v>
      </c>
    </row>
    <row r="30" spans="1:6" ht="15.75" thickBot="1" x14ac:dyDescent="0.3">
      <c r="A30" s="53" t="s">
        <v>561</v>
      </c>
      <c r="B30" s="44" t="s">
        <v>601</v>
      </c>
      <c r="C30" s="44" t="s">
        <v>601</v>
      </c>
      <c r="D30" s="45" t="s">
        <v>626</v>
      </c>
      <c r="E30" s="44"/>
      <c r="F30" s="84" t="str">
        <f>CONCATENATE(Table1[[#This Row],[Meter Name]]," - ",Table1[[#This Row],[Independent/Campus Meter]])</f>
        <v xml:space="preserve">55007381787 - 30578 Broad St - </v>
      </c>
    </row>
    <row r="31" spans="1:6" ht="15.75" thickBot="1" x14ac:dyDescent="0.3">
      <c r="A31" s="53" t="s">
        <v>562</v>
      </c>
      <c r="B31" s="44" t="s">
        <v>601</v>
      </c>
      <c r="C31" s="44" t="s">
        <v>601</v>
      </c>
      <c r="D31" s="45" t="s">
        <v>627</v>
      </c>
      <c r="E31" s="44"/>
      <c r="F31" s="84" t="str">
        <f>CONCATENATE(Table1[[#This Row],[Meter Name]]," - ",Table1[[#This Row],[Independent/Campus Meter]])</f>
        <v xml:space="preserve">55007402112 - 30578 Broad St - </v>
      </c>
    </row>
    <row r="32" spans="1:6" ht="15.75" thickBot="1" x14ac:dyDescent="0.3">
      <c r="A32" s="53" t="s">
        <v>563</v>
      </c>
      <c r="B32" s="44" t="s">
        <v>601</v>
      </c>
      <c r="C32" s="44" t="s">
        <v>601</v>
      </c>
      <c r="D32" s="45" t="s">
        <v>628</v>
      </c>
      <c r="E32" s="44"/>
      <c r="F32" s="84" t="str">
        <f>CONCATENATE(Table1[[#This Row],[Meter Name]]," - ",Table1[[#This Row],[Independent/Campus Meter]])</f>
        <v xml:space="preserve">55007402450 - 30578 Broad St - </v>
      </c>
    </row>
    <row r="33" spans="1:6" ht="15.75" thickBot="1" x14ac:dyDescent="0.3">
      <c r="A33" s="53" t="s">
        <v>564</v>
      </c>
      <c r="B33" s="44" t="s">
        <v>601</v>
      </c>
      <c r="C33" s="44" t="s">
        <v>601</v>
      </c>
      <c r="D33" s="45" t="s">
        <v>629</v>
      </c>
      <c r="E33" s="44"/>
      <c r="F33" s="84" t="str">
        <f>CONCATENATE(Table1[[#This Row],[Meter Name]]," - ",Table1[[#This Row],[Independent/Campus Meter]])</f>
        <v xml:space="preserve">55007402914 - 30578 Broad St - </v>
      </c>
    </row>
    <row r="34" spans="1:6" ht="15.75" thickBot="1" x14ac:dyDescent="0.3">
      <c r="A34" s="53" t="s">
        <v>565</v>
      </c>
      <c r="B34" s="44" t="s">
        <v>601</v>
      </c>
      <c r="C34" s="44" t="s">
        <v>601</v>
      </c>
      <c r="D34" s="45" t="s">
        <v>630</v>
      </c>
      <c r="E34" s="44"/>
      <c r="F34" s="84" t="str">
        <f>CONCATENATE(Table1[[#This Row],[Meter Name]]," - ",Table1[[#This Row],[Independent/Campus Meter]])</f>
        <v xml:space="preserve">55007403136 - 30578 Broad St - </v>
      </c>
    </row>
    <row r="35" spans="1:6" ht="15.75" thickBot="1" x14ac:dyDescent="0.3">
      <c r="A35" s="53" t="s">
        <v>566</v>
      </c>
      <c r="B35" s="44" t="s">
        <v>601</v>
      </c>
      <c r="C35" s="44" t="s">
        <v>601</v>
      </c>
      <c r="D35" s="45" t="s">
        <v>631</v>
      </c>
      <c r="E35" s="44"/>
      <c r="F35" s="84" t="str">
        <f>CONCATENATE(Table1[[#This Row],[Meter Name]]," - ",Table1[[#This Row],[Independent/Campus Meter]])</f>
        <v xml:space="preserve">55007403433 - 30578 Broad St - </v>
      </c>
    </row>
    <row r="36" spans="1:6" ht="15.75" thickBot="1" x14ac:dyDescent="0.3">
      <c r="A36" s="53" t="s">
        <v>576</v>
      </c>
      <c r="B36" s="44" t="s">
        <v>601</v>
      </c>
      <c r="C36" s="44" t="s">
        <v>601</v>
      </c>
      <c r="D36" s="45" t="s">
        <v>641</v>
      </c>
      <c r="E36" s="44"/>
      <c r="F36" s="84" t="str">
        <f>CONCATENATE(Table1[[#This Row],[Meter Name]]," - ",Table1[[#This Row],[Independent/Campus Meter]])</f>
        <v xml:space="preserve">55007403870 - 30578 Broad St - </v>
      </c>
    </row>
    <row r="37" spans="1:6" ht="15.75" thickBot="1" x14ac:dyDescent="0.3">
      <c r="A37" s="53" t="s">
        <v>567</v>
      </c>
      <c r="B37" s="44" t="s">
        <v>601</v>
      </c>
      <c r="C37" s="44" t="s">
        <v>601</v>
      </c>
      <c r="D37" s="45" t="s">
        <v>632</v>
      </c>
      <c r="E37" s="44"/>
      <c r="F37" s="84" t="str">
        <f>CONCATENATE(Table1[[#This Row],[Meter Name]]," - ",Table1[[#This Row],[Independent/Campus Meter]])</f>
        <v xml:space="preserve">55007404324 - 30578 Broad St - </v>
      </c>
    </row>
    <row r="38" spans="1:6" ht="15.75" thickBot="1" x14ac:dyDescent="0.3">
      <c r="A38" s="53" t="s">
        <v>568</v>
      </c>
      <c r="B38" s="44" t="s">
        <v>601</v>
      </c>
      <c r="C38" s="44" t="s">
        <v>601</v>
      </c>
      <c r="D38" s="45" t="s">
        <v>633</v>
      </c>
      <c r="E38" s="44"/>
      <c r="F38" s="84" t="str">
        <f>CONCATENATE(Table1[[#This Row],[Meter Name]]," - ",Table1[[#This Row],[Independent/Campus Meter]])</f>
        <v xml:space="preserve">55007404845 - 30578 Broad St - </v>
      </c>
    </row>
    <row r="39" spans="1:6" ht="15.75" thickBot="1" x14ac:dyDescent="0.3">
      <c r="A39" s="53" t="s">
        <v>569</v>
      </c>
      <c r="B39" s="44" t="s">
        <v>601</v>
      </c>
      <c r="C39" s="44" t="s">
        <v>601</v>
      </c>
      <c r="D39" s="45" t="s">
        <v>634</v>
      </c>
      <c r="E39" s="44"/>
      <c r="F39" s="84" t="str">
        <f>CONCATENATE(Table1[[#This Row],[Meter Name]]," - ",Table1[[#This Row],[Independent/Campus Meter]])</f>
        <v xml:space="preserve">55007405222 - 30578 Broad St - </v>
      </c>
    </row>
    <row r="40" spans="1:6" ht="15.75" thickBot="1" x14ac:dyDescent="0.3">
      <c r="A40" s="53" t="s">
        <v>570</v>
      </c>
      <c r="B40" s="44" t="s">
        <v>601</v>
      </c>
      <c r="C40" s="44" t="s">
        <v>601</v>
      </c>
      <c r="D40" s="45" t="s">
        <v>635</v>
      </c>
      <c r="E40" s="44"/>
      <c r="F40" s="84" t="str">
        <f>CONCATENATE(Table1[[#This Row],[Meter Name]]," - ",Table1[[#This Row],[Independent/Campus Meter]])</f>
        <v xml:space="preserve">55007405636 - 30578 Broad St - </v>
      </c>
    </row>
    <row r="41" spans="1:6" ht="15.75" thickBot="1" x14ac:dyDescent="0.3">
      <c r="A41" s="53" t="s">
        <v>571</v>
      </c>
      <c r="B41" s="44" t="s">
        <v>601</v>
      </c>
      <c r="C41" s="44" t="s">
        <v>601</v>
      </c>
      <c r="D41" s="45" t="s">
        <v>636</v>
      </c>
      <c r="E41" s="44"/>
      <c r="F41" s="84" t="str">
        <f>CONCATENATE(Table1[[#This Row],[Meter Name]]," - ",Table1[[#This Row],[Independent/Campus Meter]])</f>
        <v xml:space="preserve">55007405891 - 30578 Broad St - </v>
      </c>
    </row>
    <row r="42" spans="1:6" ht="15.75" thickBot="1" x14ac:dyDescent="0.3">
      <c r="A42" s="53" t="s">
        <v>572</v>
      </c>
      <c r="B42" s="44" t="s">
        <v>601</v>
      </c>
      <c r="C42" s="44" t="s">
        <v>601</v>
      </c>
      <c r="D42" s="45" t="s">
        <v>637</v>
      </c>
      <c r="E42" s="44"/>
      <c r="F42" s="84" t="str">
        <f>CONCATENATE(Table1[[#This Row],[Meter Name]]," - ",Table1[[#This Row],[Independent/Campus Meter]])</f>
        <v xml:space="preserve">55007426194 - 30578 Broad St - </v>
      </c>
    </row>
    <row r="43" spans="1:6" ht="15.75" thickBot="1" x14ac:dyDescent="0.3">
      <c r="A43" s="53" t="s">
        <v>573</v>
      </c>
      <c r="B43" s="44" t="s">
        <v>601</v>
      </c>
      <c r="C43" s="44" t="s">
        <v>601</v>
      </c>
      <c r="D43" s="45" t="s">
        <v>638</v>
      </c>
      <c r="E43" s="44"/>
      <c r="F43" s="84" t="str">
        <f>CONCATENATE(Table1[[#This Row],[Meter Name]]," - ",Table1[[#This Row],[Independent/Campus Meter]])</f>
        <v xml:space="preserve">55007426830 - 30578 Broad St - </v>
      </c>
    </row>
    <row r="44" spans="1:6" ht="15.75" thickBot="1" x14ac:dyDescent="0.3">
      <c r="A44" s="53" t="s">
        <v>574</v>
      </c>
      <c r="B44" s="44" t="s">
        <v>601</v>
      </c>
      <c r="C44" s="44" t="s">
        <v>601</v>
      </c>
      <c r="D44" s="45" t="s">
        <v>639</v>
      </c>
      <c r="E44" s="44"/>
      <c r="F44" s="84" t="str">
        <f>CONCATENATE(Table1[[#This Row],[Meter Name]]," - ",Table1[[#This Row],[Independent/Campus Meter]])</f>
        <v xml:space="preserve">55007427077 - 30578 Broad St - </v>
      </c>
    </row>
    <row r="45" spans="1:6" ht="15.75" thickBot="1" x14ac:dyDescent="0.3">
      <c r="A45" s="53" t="s">
        <v>595</v>
      </c>
      <c r="B45" s="44" t="s">
        <v>601</v>
      </c>
      <c r="C45" s="44" t="s">
        <v>601</v>
      </c>
      <c r="D45" s="45" t="s">
        <v>660</v>
      </c>
      <c r="E45" s="44"/>
      <c r="F45" s="84" t="str">
        <f>CONCATENATE(Table1[[#This Row],[Meter Name]]," - ",Table1[[#This Row],[Independent/Campus Meter]])</f>
        <v xml:space="preserve">55007427333 - 30578 Broad St - </v>
      </c>
    </row>
    <row r="46" spans="1:6" ht="15.75" thickBot="1" x14ac:dyDescent="0.3">
      <c r="A46" s="53" t="s">
        <v>575</v>
      </c>
      <c r="B46" s="44" t="s">
        <v>601</v>
      </c>
      <c r="C46" s="44" t="s">
        <v>601</v>
      </c>
      <c r="D46" s="45" t="s">
        <v>640</v>
      </c>
      <c r="E46" s="44"/>
      <c r="F46" s="84" t="str">
        <f>CONCATENATE(Table1[[#This Row],[Meter Name]]," - ",Table1[[#This Row],[Independent/Campus Meter]])</f>
        <v xml:space="preserve">55007427903 - 30578 Broad St - </v>
      </c>
    </row>
    <row r="47" spans="1:6" ht="15.75" thickBot="1" x14ac:dyDescent="0.3">
      <c r="A47" s="53" t="s">
        <v>577</v>
      </c>
      <c r="B47" s="44" t="s">
        <v>601</v>
      </c>
      <c r="C47" s="44" t="s">
        <v>601</v>
      </c>
      <c r="D47" s="45" t="s">
        <v>642</v>
      </c>
      <c r="E47" s="44"/>
      <c r="F47" s="84" t="str">
        <f>CONCATENATE(Table1[[#This Row],[Meter Name]]," - ",Table1[[#This Row],[Independent/Campus Meter]])</f>
        <v xml:space="preserve">55007428141 - 30578 Broad St - </v>
      </c>
    </row>
    <row r="48" spans="1:6" ht="15.75" thickBot="1" x14ac:dyDescent="0.3">
      <c r="A48" s="53" t="s">
        <v>578</v>
      </c>
      <c r="B48" s="44" t="s">
        <v>601</v>
      </c>
      <c r="C48" s="44" t="s">
        <v>601</v>
      </c>
      <c r="D48" s="45" t="s">
        <v>643</v>
      </c>
      <c r="E48" s="44"/>
      <c r="F48" s="84" t="str">
        <f>CONCATENATE(Table1[[#This Row],[Meter Name]]," - ",Table1[[#This Row],[Independent/Campus Meter]])</f>
        <v xml:space="preserve">55007428794 - 30578 Broad St - </v>
      </c>
    </row>
    <row r="49" spans="1:6" ht="15.75" thickBot="1" x14ac:dyDescent="0.3">
      <c r="A49" s="53" t="s">
        <v>579</v>
      </c>
      <c r="B49" s="44" t="s">
        <v>601</v>
      </c>
      <c r="C49" s="44" t="s">
        <v>601</v>
      </c>
      <c r="D49" s="45" t="s">
        <v>644</v>
      </c>
      <c r="E49" s="44"/>
      <c r="F49" s="84" t="str">
        <f>CONCATENATE(Table1[[#This Row],[Meter Name]]," - ",Table1[[#This Row],[Independent/Campus Meter]])</f>
        <v xml:space="preserve">55007429131 - 30578 Broad St - </v>
      </c>
    </row>
    <row r="50" spans="1:6" ht="15.75" thickBot="1" x14ac:dyDescent="0.3">
      <c r="A50" s="53" t="s">
        <v>580</v>
      </c>
      <c r="B50" s="44" t="s">
        <v>601</v>
      </c>
      <c r="C50" s="44" t="s">
        <v>601</v>
      </c>
      <c r="D50" s="45" t="s">
        <v>645</v>
      </c>
      <c r="E50" s="44"/>
      <c r="F50" s="84" t="str">
        <f>CONCATENATE(Table1[[#This Row],[Meter Name]]," - ",Table1[[#This Row],[Independent/Campus Meter]])</f>
        <v xml:space="preserve">55007429586 - 30578 Broad St - </v>
      </c>
    </row>
    <row r="51" spans="1:6" ht="15.75" thickBot="1" x14ac:dyDescent="0.3">
      <c r="A51" s="53" t="s">
        <v>581</v>
      </c>
      <c r="B51" s="44" t="s">
        <v>601</v>
      </c>
      <c r="C51" s="44" t="s">
        <v>601</v>
      </c>
      <c r="D51" s="45" t="s">
        <v>646</v>
      </c>
      <c r="E51" s="44"/>
      <c r="F51" s="84" t="str">
        <f>CONCATENATE(Table1[[#This Row],[Meter Name]]," - ",Table1[[#This Row],[Independent/Campus Meter]])</f>
        <v xml:space="preserve">55007450020 - 30578 Broad St - </v>
      </c>
    </row>
    <row r="52" spans="1:6" ht="15.75" thickBot="1" x14ac:dyDescent="0.3">
      <c r="A52" s="53" t="s">
        <v>582</v>
      </c>
      <c r="B52" s="44" t="s">
        <v>601</v>
      </c>
      <c r="C52" s="44" t="s">
        <v>601</v>
      </c>
      <c r="D52" s="45" t="s">
        <v>647</v>
      </c>
      <c r="E52" s="44"/>
      <c r="F52" s="84" t="str">
        <f>CONCATENATE(Table1[[#This Row],[Meter Name]]," - ",Table1[[#This Row],[Independent/Campus Meter]])</f>
        <v xml:space="preserve">55007450400 - 30578 Broad St - </v>
      </c>
    </row>
    <row r="53" spans="1:6" ht="15.75" thickBot="1" x14ac:dyDescent="0.3">
      <c r="A53" s="53" t="s">
        <v>583</v>
      </c>
      <c r="B53" s="44" t="s">
        <v>601</v>
      </c>
      <c r="C53" s="44" t="s">
        <v>601</v>
      </c>
      <c r="D53" s="45" t="s">
        <v>648</v>
      </c>
      <c r="E53" s="44"/>
      <c r="F53" s="84" t="str">
        <f>CONCATENATE(Table1[[#This Row],[Meter Name]]," - ",Table1[[#This Row],[Independent/Campus Meter]])</f>
        <v xml:space="preserve">55007450822 - 30578 Broad St - </v>
      </c>
    </row>
    <row r="54" spans="1:6" ht="15.75" thickBot="1" x14ac:dyDescent="0.3">
      <c r="A54" s="53" t="s">
        <v>584</v>
      </c>
      <c r="B54" s="44" t="s">
        <v>601</v>
      </c>
      <c r="C54" s="44" t="s">
        <v>601</v>
      </c>
      <c r="D54" s="45" t="s">
        <v>649</v>
      </c>
      <c r="E54" s="44"/>
      <c r="F54" s="84" t="str">
        <f>CONCATENATE(Table1[[#This Row],[Meter Name]]," - ",Table1[[#This Row],[Independent/Campus Meter]])</f>
        <v xml:space="preserve">55007451150 - 30578 Broad St - </v>
      </c>
    </row>
    <row r="55" spans="1:6" ht="15.75" thickBot="1" x14ac:dyDescent="0.3">
      <c r="A55" s="53" t="s">
        <v>585</v>
      </c>
      <c r="B55" s="44" t="s">
        <v>601</v>
      </c>
      <c r="C55" s="44" t="s">
        <v>601</v>
      </c>
      <c r="D55" s="45" t="s">
        <v>650</v>
      </c>
      <c r="E55" s="44"/>
      <c r="F55" s="84" t="str">
        <f>CONCATENATE(Table1[[#This Row],[Meter Name]]," - ",Table1[[#This Row],[Independent/Campus Meter]])</f>
        <v xml:space="preserve">55007451549 - 30578 Broad St - </v>
      </c>
    </row>
    <row r="56" spans="1:6" ht="15.75" thickBot="1" x14ac:dyDescent="0.3">
      <c r="A56" s="53" t="s">
        <v>586</v>
      </c>
      <c r="B56" s="44" t="s">
        <v>601</v>
      </c>
      <c r="C56" s="44" t="s">
        <v>601</v>
      </c>
      <c r="D56" s="45" t="s">
        <v>651</v>
      </c>
      <c r="E56" s="44"/>
      <c r="F56" s="84" t="str">
        <f>CONCATENATE(Table1[[#This Row],[Meter Name]]," - ",Table1[[#This Row],[Independent/Campus Meter]])</f>
        <v xml:space="preserve">55007451887 - 30578 Broad St - </v>
      </c>
    </row>
    <row r="57" spans="1:6" ht="15.75" thickBot="1" x14ac:dyDescent="0.3">
      <c r="A57" s="53" t="s">
        <v>587</v>
      </c>
      <c r="B57" s="44" t="s">
        <v>601</v>
      </c>
      <c r="C57" s="44" t="s">
        <v>601</v>
      </c>
      <c r="D57" s="45" t="s">
        <v>652</v>
      </c>
      <c r="E57" s="44"/>
      <c r="F57" s="84" t="str">
        <f>CONCATENATE(Table1[[#This Row],[Meter Name]]," - ",Table1[[#This Row],[Independent/Campus Meter]])</f>
        <v xml:space="preserve">55007452109 - 30578 Broad St - </v>
      </c>
    </row>
    <row r="58" spans="1:6" ht="15.75" thickBot="1" x14ac:dyDescent="0.3">
      <c r="A58" s="53" t="s">
        <v>588</v>
      </c>
      <c r="B58" s="44" t="s">
        <v>601</v>
      </c>
      <c r="C58" s="44" t="s">
        <v>601</v>
      </c>
      <c r="D58" s="45" t="s">
        <v>653</v>
      </c>
      <c r="E58" s="44"/>
      <c r="F58" s="84" t="str">
        <f>CONCATENATE(Table1[[#This Row],[Meter Name]]," - ",Table1[[#This Row],[Independent/Campus Meter]])</f>
        <v xml:space="preserve">55007452299 - 30578 Broad St - </v>
      </c>
    </row>
    <row r="59" spans="1:6" ht="15.75" thickBot="1" x14ac:dyDescent="0.3">
      <c r="A59" s="53" t="s">
        <v>589</v>
      </c>
      <c r="B59" s="44" t="s">
        <v>601</v>
      </c>
      <c r="C59" s="44" t="s">
        <v>601</v>
      </c>
      <c r="D59" s="45" t="s">
        <v>654</v>
      </c>
      <c r="E59" s="44"/>
      <c r="F59" s="84" t="str">
        <f>CONCATENATE(Table1[[#This Row],[Meter Name]]," - ",Table1[[#This Row],[Independent/Campus Meter]])</f>
        <v xml:space="preserve">55007452364 - 30578 Broad St - </v>
      </c>
    </row>
    <row r="60" spans="1:6" ht="15.75" thickBot="1" x14ac:dyDescent="0.3">
      <c r="A60" s="53" t="s">
        <v>590</v>
      </c>
      <c r="B60" s="44" t="s">
        <v>601</v>
      </c>
      <c r="C60" s="44" t="s">
        <v>601</v>
      </c>
      <c r="D60" s="45" t="s">
        <v>655</v>
      </c>
      <c r="E60" s="44"/>
      <c r="F60" s="84" t="str">
        <f>CONCATENATE(Table1[[#This Row],[Meter Name]]," - ",Table1[[#This Row],[Independent/Campus Meter]])</f>
        <v xml:space="preserve">55007452695 - 30578 Broad St - </v>
      </c>
    </row>
    <row r="61" spans="1:6" ht="15.75" thickBot="1" x14ac:dyDescent="0.3">
      <c r="A61" s="53" t="s">
        <v>591</v>
      </c>
      <c r="B61" s="44" t="s">
        <v>601</v>
      </c>
      <c r="C61" s="44" t="s">
        <v>601</v>
      </c>
      <c r="D61" s="45" t="s">
        <v>656</v>
      </c>
      <c r="E61" s="44"/>
      <c r="F61" s="84" t="str">
        <f>CONCATENATE(Table1[[#This Row],[Meter Name]]," - ",Table1[[#This Row],[Independent/Campus Meter]])</f>
        <v xml:space="preserve">55007452950 - 30578 Broad St - </v>
      </c>
    </row>
    <row r="62" spans="1:6" ht="15.75" thickBot="1" x14ac:dyDescent="0.3">
      <c r="A62" s="53" t="s">
        <v>592</v>
      </c>
      <c r="B62" s="44" t="s">
        <v>601</v>
      </c>
      <c r="C62" s="44" t="s">
        <v>601</v>
      </c>
      <c r="D62" s="45" t="s">
        <v>657</v>
      </c>
      <c r="E62" s="44"/>
      <c r="F62" s="84" t="str">
        <f>CONCATENATE(Table1[[#This Row],[Meter Name]]," - ",Table1[[#This Row],[Independent/Campus Meter]])</f>
        <v xml:space="preserve">55007453404 - 30578 Broad St - </v>
      </c>
    </row>
    <row r="63" spans="1:6" ht="15.75" thickBot="1" x14ac:dyDescent="0.3">
      <c r="A63" s="53" t="s">
        <v>668</v>
      </c>
      <c r="B63" s="44" t="s">
        <v>601</v>
      </c>
      <c r="C63" s="44" t="s">
        <v>601</v>
      </c>
      <c r="D63" s="45" t="s">
        <v>669</v>
      </c>
      <c r="E63" s="44"/>
      <c r="F63" s="84" t="str">
        <f>CONCATENATE(Table1[[#This Row],[Meter Name]]," - ",Table1[[#This Row],[Independent/Campus Meter]])</f>
        <v xml:space="preserve">55009341805 - Tom Nichols Rd Apt Temp - </v>
      </c>
    </row>
    <row r="64" spans="1:6" ht="15.75" thickBot="1" x14ac:dyDescent="0.3">
      <c r="A64" s="53" t="s">
        <v>594</v>
      </c>
      <c r="B64" s="44" t="s">
        <v>601</v>
      </c>
      <c r="C64" s="44" t="s">
        <v>601</v>
      </c>
      <c r="D64" s="45" t="s">
        <v>659</v>
      </c>
      <c r="E64" s="44"/>
      <c r="F64" s="84" t="str">
        <f>CONCATENATE(Table1[[#This Row],[Meter Name]]," - ",Table1[[#This Row],[Independent/Campus Meter]])</f>
        <v xml:space="preserve">55009362223 - College Backbone Rd - </v>
      </c>
    </row>
    <row r="65" spans="1:6" ht="15.75" thickBot="1" x14ac:dyDescent="0.3">
      <c r="A65" s="57" t="s">
        <v>666</v>
      </c>
      <c r="B65" s="136" t="s">
        <v>601</v>
      </c>
      <c r="C65" s="136" t="s">
        <v>601</v>
      </c>
      <c r="D65" s="137" t="s">
        <v>667</v>
      </c>
      <c r="E65" s="136"/>
      <c r="F65" s="138" t="str">
        <f>CONCATENATE(Table1[[#This Row],[Meter Name]]," - ",Table1[[#This Row],[Independent/Campus Meter]])</f>
        <v xml:space="preserve">55011723693 - Hytche Blvd Kiosk - </v>
      </c>
    </row>
    <row r="66" spans="1:6" ht="15.75" thickBot="1" x14ac:dyDescent="0.3">
      <c r="A66" s="57" t="s">
        <v>598</v>
      </c>
      <c r="B66" s="136" t="s">
        <v>602</v>
      </c>
      <c r="C66" s="136" t="s">
        <v>603</v>
      </c>
      <c r="D66" s="137" t="s">
        <v>663</v>
      </c>
      <c r="E66" s="136"/>
      <c r="F66" s="138" t="str">
        <f>CONCATENATE(Table1[[#This Row],[Meter Name]]," - ",Table1[[#This Row],[Independent/Campus Meter]])</f>
        <v xml:space="preserve">665298500 - GARAGE/MARKSMAN FARM - </v>
      </c>
    </row>
    <row r="67" spans="1:6" ht="15.75" thickBot="1" x14ac:dyDescent="0.3">
      <c r="A67" s="57" t="s">
        <v>599</v>
      </c>
      <c r="B67" s="136" t="s">
        <v>602</v>
      </c>
      <c r="C67" s="136" t="s">
        <v>603</v>
      </c>
      <c r="D67" s="137" t="s">
        <v>664</v>
      </c>
      <c r="E67" s="136"/>
      <c r="F67" s="138" t="str">
        <f>CONCATENATE(Table1[[#This Row],[Meter Name]]," - ",Table1[[#This Row],[Independent/Campus Meter]])</f>
        <v xml:space="preserve">665298600 - HOUSE 12116 BACKBONE RD. - </v>
      </c>
    </row>
    <row r="68" spans="1:6" ht="15.75" thickBot="1" x14ac:dyDescent="0.3">
      <c r="A68" s="57" t="s">
        <v>600</v>
      </c>
      <c r="B68" s="136" t="s">
        <v>602</v>
      </c>
      <c r="C68" s="136" t="s">
        <v>603</v>
      </c>
      <c r="D68" s="137" t="s">
        <v>665</v>
      </c>
      <c r="E68" s="136"/>
      <c r="F68" s="138" t="str">
        <f>CONCATENATE(Table1[[#This Row],[Meter Name]]," - ",Table1[[#This Row],[Independent/Campus Meter]])</f>
        <v xml:space="preserve">665298800 - BACKBONE RD. IRRIGATION PUMP - </v>
      </c>
    </row>
    <row r="69" spans="1:6" x14ac:dyDescent="0.25">
      <c r="A69" s="57" t="s">
        <v>596</v>
      </c>
      <c r="B69" s="136" t="s">
        <v>602</v>
      </c>
      <c r="C69" s="136" t="s">
        <v>603</v>
      </c>
      <c r="D69" s="137" t="s">
        <v>661</v>
      </c>
      <c r="E69" s="136"/>
      <c r="F69" s="138" t="str">
        <f>CONCATENATE(Table1[[#This Row],[Meter Name]]," - ",Table1[[#This Row],[Independent/Campus Meter]])</f>
        <v xml:space="preserve">990899300 - 11802 MARSH VIEW LN. - </v>
      </c>
    </row>
  </sheetData>
  <sortState ref="C3:H23">
    <sortCondition ref="D3:D23"/>
  </sortState>
  <dataValidations count="1">
    <dataValidation type="list" allowBlank="1" showInputMessage="1" showErrorMessage="1" sqref="E3:E69">
      <formula1>"Independent Meter, Campus Meter"</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F22"/>
  <sheetViews>
    <sheetView zoomScale="98" zoomScaleNormal="98" workbookViewId="0">
      <selection activeCell="F4" sqref="F4"/>
    </sheetView>
  </sheetViews>
  <sheetFormatPr defaultRowHeight="15" x14ac:dyDescent="0.25"/>
  <cols>
    <col min="1" max="1" width="36.5703125" style="12" bestFit="1" customWidth="1"/>
    <col min="2" max="2" width="26" style="12" customWidth="1"/>
    <col min="3" max="3" width="23.28515625" style="12" bestFit="1" customWidth="1"/>
    <col min="4" max="4" width="71.140625" style="48" customWidth="1"/>
    <col min="5" max="5" width="40.140625" style="12" customWidth="1"/>
    <col min="6" max="6" width="51.85546875" style="12" customWidth="1"/>
  </cols>
  <sheetData>
    <row r="1" spans="1:6" x14ac:dyDescent="0.25">
      <c r="A1" s="13" t="s">
        <v>235</v>
      </c>
    </row>
    <row r="2" spans="1:6" ht="15.75" thickBot="1" x14ac:dyDescent="0.3">
      <c r="A2" s="59" t="s">
        <v>232</v>
      </c>
      <c r="B2" s="60" t="s">
        <v>233</v>
      </c>
      <c r="C2" s="60" t="s">
        <v>234</v>
      </c>
      <c r="D2" s="61" t="s">
        <v>231</v>
      </c>
      <c r="E2" s="46" t="s">
        <v>503</v>
      </c>
      <c r="F2" s="62" t="s">
        <v>504</v>
      </c>
    </row>
    <row r="3" spans="1:6" ht="15.75" thickBot="1" x14ac:dyDescent="0.3">
      <c r="A3" s="58"/>
      <c r="B3" s="34"/>
      <c r="C3" s="34"/>
      <c r="D3" s="33"/>
      <c r="E3" s="44"/>
      <c r="F3" s="63" t="str">
        <f>CONCATENATE(Table2[[#This Row],[Meter Name]]," - ",Table2[[#This Row],[Independent/Campus Meter]])</f>
        <v xml:space="preserve"> - </v>
      </c>
    </row>
    <row r="4" spans="1:6" ht="15.75" thickBot="1" x14ac:dyDescent="0.3">
      <c r="A4" s="58"/>
      <c r="B4" s="34"/>
      <c r="C4" s="34"/>
      <c r="D4" s="33"/>
      <c r="E4" s="44"/>
      <c r="F4" s="63" t="str">
        <f>CONCATENATE(Table2[[#This Row],[Meter Name]]," - ",Table2[[#This Row],[Independent/Campus Meter]])</f>
        <v xml:space="preserve"> - </v>
      </c>
    </row>
    <row r="5" spans="1:6" ht="15.75" thickBot="1" x14ac:dyDescent="0.3">
      <c r="A5" s="58"/>
      <c r="B5" s="34"/>
      <c r="C5" s="34"/>
      <c r="D5" s="33"/>
      <c r="E5" s="44"/>
      <c r="F5" s="63" t="str">
        <f>CONCATENATE(Table2[[#This Row],[Meter Name]]," - ",Table2[[#This Row],[Independent/Campus Meter]])</f>
        <v xml:space="preserve"> - </v>
      </c>
    </row>
    <row r="6" spans="1:6" ht="15.75" thickBot="1" x14ac:dyDescent="0.3">
      <c r="A6" s="58"/>
      <c r="B6" s="34"/>
      <c r="C6" s="34"/>
      <c r="D6" s="33"/>
      <c r="E6" s="44"/>
      <c r="F6" s="63" t="str">
        <f>CONCATENATE(Table2[[#This Row],[Meter Name]]," - ",Table2[[#This Row],[Independent/Campus Meter]])</f>
        <v xml:space="preserve"> - </v>
      </c>
    </row>
    <row r="7" spans="1:6" ht="15.75" thickBot="1" x14ac:dyDescent="0.3">
      <c r="A7" s="58"/>
      <c r="B7" s="34"/>
      <c r="C7" s="34"/>
      <c r="D7" s="33"/>
      <c r="E7" s="44"/>
      <c r="F7" s="63" t="str">
        <f>CONCATENATE(Table2[[#This Row],[Meter Name]]," - ",Table2[[#This Row],[Independent/Campus Meter]])</f>
        <v xml:space="preserve"> - </v>
      </c>
    </row>
    <row r="8" spans="1:6" x14ac:dyDescent="0.25">
      <c r="A8" s="49"/>
      <c r="B8" s="49"/>
      <c r="C8" s="49"/>
      <c r="D8" s="49"/>
      <c r="E8" s="43"/>
      <c r="F8" s="43"/>
    </row>
    <row r="9" spans="1:6" x14ac:dyDescent="0.25">
      <c r="A9" s="49"/>
      <c r="B9" s="49"/>
      <c r="C9" s="49"/>
      <c r="D9" s="49"/>
      <c r="E9" s="43"/>
      <c r="F9" s="43"/>
    </row>
    <row r="10" spans="1:6" x14ac:dyDescent="0.25">
      <c r="A10" s="49"/>
      <c r="B10" s="49"/>
      <c r="C10" s="49"/>
      <c r="D10" s="49"/>
      <c r="E10" s="43"/>
      <c r="F10" s="43"/>
    </row>
    <row r="11" spans="1:6" x14ac:dyDescent="0.25">
      <c r="A11" s="49"/>
      <c r="B11" s="49"/>
      <c r="C11" s="49"/>
      <c r="D11" s="49"/>
      <c r="E11" s="43"/>
      <c r="F11" s="43"/>
    </row>
    <row r="12" spans="1:6" x14ac:dyDescent="0.25">
      <c r="A12" s="49"/>
      <c r="B12" s="49"/>
      <c r="C12" s="49"/>
      <c r="D12" s="49"/>
      <c r="E12" s="43"/>
      <c r="F12" s="43"/>
    </row>
    <row r="13" spans="1:6" x14ac:dyDescent="0.25">
      <c r="A13" s="49"/>
      <c r="B13" s="49"/>
      <c r="C13" s="49"/>
      <c r="D13" s="49"/>
      <c r="E13" s="43"/>
      <c r="F13" s="43"/>
    </row>
    <row r="14" spans="1:6" x14ac:dyDescent="0.25">
      <c r="A14" s="49"/>
      <c r="B14" s="49"/>
      <c r="C14" s="49"/>
      <c r="D14" s="49"/>
      <c r="E14" s="43"/>
      <c r="F14" s="43"/>
    </row>
    <row r="15" spans="1:6" x14ac:dyDescent="0.25">
      <c r="A15" s="49"/>
      <c r="B15" s="49"/>
      <c r="C15" s="49"/>
      <c r="D15" s="49"/>
      <c r="E15" s="43"/>
      <c r="F15" s="43"/>
    </row>
    <row r="16" spans="1:6" x14ac:dyDescent="0.25">
      <c r="A16" s="49"/>
      <c r="B16" s="49"/>
      <c r="C16" s="49"/>
      <c r="D16" s="49"/>
      <c r="E16" s="43"/>
      <c r="F16" s="43"/>
    </row>
    <row r="17" spans="1:6" x14ac:dyDescent="0.25">
      <c r="A17" s="49"/>
      <c r="B17" s="49"/>
      <c r="C17" s="49"/>
      <c r="D17" s="49"/>
      <c r="E17" s="43"/>
      <c r="F17" s="43"/>
    </row>
    <row r="18" spans="1:6" x14ac:dyDescent="0.25">
      <c r="A18" s="49"/>
      <c r="B18" s="49"/>
      <c r="C18" s="49"/>
      <c r="D18" s="49"/>
      <c r="E18" s="43"/>
      <c r="F18" s="43"/>
    </row>
    <row r="19" spans="1:6" x14ac:dyDescent="0.25">
      <c r="A19" s="49"/>
      <c r="B19" s="49"/>
      <c r="C19" s="49"/>
      <c r="D19" s="49"/>
      <c r="E19" s="43"/>
      <c r="F19" s="43"/>
    </row>
    <row r="20" spans="1:6" x14ac:dyDescent="0.25">
      <c r="A20" s="49"/>
      <c r="B20" s="49"/>
      <c r="C20" s="49"/>
      <c r="D20" s="49"/>
      <c r="E20" s="43"/>
      <c r="F20" s="43"/>
    </row>
    <row r="21" spans="1:6" x14ac:dyDescent="0.25">
      <c r="A21" s="49"/>
      <c r="B21" s="49"/>
      <c r="C21" s="49"/>
      <c r="D21" s="49"/>
      <c r="E21" s="43"/>
      <c r="F21" s="43"/>
    </row>
    <row r="22" spans="1:6" x14ac:dyDescent="0.25">
      <c r="A22" s="49"/>
      <c r="B22" s="49"/>
      <c r="C22" s="49"/>
      <c r="D22" s="49"/>
      <c r="E22" s="43"/>
      <c r="F22" s="43"/>
    </row>
  </sheetData>
  <sortState ref="A3:G72">
    <sortCondition ref="D3:D72"/>
  </sortState>
  <dataValidations count="1">
    <dataValidation type="list" allowBlank="1" showInputMessage="1" showErrorMessage="1" sqref="E3:E7">
      <formula1>"Independent Meter, Campus Meter"</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pageSetUpPr fitToPage="1"/>
  </sheetPr>
  <dimension ref="A1:AR733"/>
  <sheetViews>
    <sheetView tabSelected="1" topLeftCell="M1" zoomScaleNormal="100" workbookViewId="0">
      <pane xSplit="2" ySplit="2" topLeftCell="O3" activePane="bottomRight" state="frozen"/>
      <selection activeCell="M1" sqref="M1"/>
      <selection pane="topRight" activeCell="O1" sqref="O1"/>
      <selection pane="bottomLeft" activeCell="M3" sqref="M3"/>
      <selection pane="bottomRight" activeCell="Q12" sqref="Q12"/>
    </sheetView>
  </sheetViews>
  <sheetFormatPr defaultColWidth="23.140625" defaultRowHeight="15" x14ac:dyDescent="0.25"/>
  <cols>
    <col min="1" max="1" width="23.140625" style="2"/>
    <col min="2" max="2" width="23.140625" style="1"/>
    <col min="3" max="3" width="25.85546875" style="1" customWidth="1"/>
    <col min="4" max="4" width="34.85546875" style="2" customWidth="1"/>
    <col min="5" max="5" width="59.85546875" style="1" customWidth="1"/>
    <col min="6" max="6" width="23.140625" style="2"/>
    <col min="7" max="7" width="23.140625" style="1"/>
    <col min="8" max="8" width="23.140625" style="2"/>
    <col min="9" max="9" width="23.140625" style="1"/>
    <col min="10" max="10" width="38.7109375" style="2" bestFit="1" customWidth="1"/>
    <col min="11" max="11" width="53.85546875" style="1" customWidth="1"/>
    <col min="12" max="12" width="18.28515625" style="2" customWidth="1"/>
    <col min="13" max="13" width="58.7109375" style="1" customWidth="1"/>
    <col min="14" max="14" width="29.7109375" style="2" customWidth="1"/>
    <col min="15" max="15" width="24.7109375" style="10" customWidth="1"/>
    <col min="16" max="16" width="34" style="3" hidden="1" customWidth="1"/>
    <col min="17" max="17" width="56.28515625" style="2" customWidth="1"/>
    <col min="18" max="18" width="62.7109375" style="29" customWidth="1"/>
    <col min="19" max="19" width="48.140625" style="1" bestFit="1" customWidth="1"/>
    <col min="20" max="20" width="22.7109375" style="3" customWidth="1"/>
    <col min="21" max="21" width="36.140625" style="1" customWidth="1"/>
    <col min="22" max="22" width="23.140625" style="3"/>
    <col min="23" max="23" width="22.28515625" style="1" customWidth="1"/>
    <col min="24" max="24" width="40" style="3" bestFit="1" customWidth="1"/>
    <col min="25" max="25" width="16.42578125" style="4" customWidth="1"/>
    <col min="26" max="26" width="32.5703125" style="6" customWidth="1"/>
    <col min="27" max="27" width="16.42578125" style="1" customWidth="1"/>
    <col min="28" max="28" width="14.85546875" style="3" customWidth="1"/>
    <col min="29" max="29" width="14.85546875" style="1" customWidth="1"/>
    <col min="30" max="30" width="17" style="3" customWidth="1"/>
    <col min="31" max="31" width="20.85546875" style="4" customWidth="1"/>
    <col min="32" max="32" width="30.85546875" style="6" customWidth="1"/>
    <col min="33" max="33" width="22.140625" style="1" customWidth="1"/>
    <col min="34" max="34" width="17.42578125" style="40" customWidth="1"/>
    <col min="35" max="35" width="23.140625" style="41"/>
    <col min="36" max="38" width="23.140625" style="10"/>
    <col min="39" max="16384" width="23.140625" style="2"/>
  </cols>
  <sheetData>
    <row r="1" spans="1:38" s="8" customFormat="1" ht="59.25" customHeight="1" thickTop="1" thickBot="1" x14ac:dyDescent="0.25">
      <c r="A1" s="86" t="s">
        <v>8</v>
      </c>
      <c r="B1" s="87" t="s">
        <v>9</v>
      </c>
      <c r="C1" s="27" t="s">
        <v>10</v>
      </c>
      <c r="D1" s="27" t="s">
        <v>467</v>
      </c>
      <c r="E1" s="27" t="s">
        <v>11</v>
      </c>
      <c r="F1" s="27" t="s">
        <v>468</v>
      </c>
      <c r="G1" s="27" t="s">
        <v>469</v>
      </c>
      <c r="H1" s="27" t="s">
        <v>470</v>
      </c>
      <c r="I1" s="28" t="s">
        <v>471</v>
      </c>
      <c r="J1" s="28" t="s">
        <v>472</v>
      </c>
      <c r="K1" s="26" t="s">
        <v>12</v>
      </c>
      <c r="L1" s="26" t="s">
        <v>473</v>
      </c>
      <c r="M1" s="26" t="s">
        <v>5</v>
      </c>
      <c r="N1" s="26" t="s">
        <v>474</v>
      </c>
      <c r="O1" s="88" t="s">
        <v>494</v>
      </c>
      <c r="P1" s="89" t="s">
        <v>495</v>
      </c>
      <c r="Q1" s="90" t="s">
        <v>499</v>
      </c>
      <c r="R1" s="90" t="s">
        <v>500</v>
      </c>
      <c r="S1" s="26" t="s">
        <v>478</v>
      </c>
      <c r="T1" s="26" t="s">
        <v>479</v>
      </c>
      <c r="U1" s="26" t="s">
        <v>480</v>
      </c>
      <c r="V1" s="26" t="s">
        <v>481</v>
      </c>
      <c r="W1" s="26" t="s">
        <v>482</v>
      </c>
      <c r="X1" s="26" t="s">
        <v>483</v>
      </c>
      <c r="Y1" s="26" t="s">
        <v>13</v>
      </c>
      <c r="Z1" s="26" t="s">
        <v>484</v>
      </c>
      <c r="AA1" s="21" t="s">
        <v>225</v>
      </c>
      <c r="AB1" s="21" t="s">
        <v>485</v>
      </c>
      <c r="AC1" s="21" t="s">
        <v>486</v>
      </c>
      <c r="AD1" s="21" t="s">
        <v>487</v>
      </c>
      <c r="AE1" s="21" t="s">
        <v>488</v>
      </c>
      <c r="AF1" s="21" t="s">
        <v>489</v>
      </c>
      <c r="AG1" s="21" t="s">
        <v>490</v>
      </c>
      <c r="AH1" s="39" t="s">
        <v>491</v>
      </c>
      <c r="AI1" s="85" t="s">
        <v>502</v>
      </c>
      <c r="AJ1" s="30"/>
      <c r="AK1" s="30"/>
      <c r="AL1" s="30"/>
    </row>
    <row r="2" spans="1:38" s="9" customFormat="1" ht="49.9" customHeight="1" x14ac:dyDescent="0.15">
      <c r="A2" s="91"/>
      <c r="B2" s="92"/>
      <c r="C2" s="92"/>
      <c r="D2" s="93" t="s">
        <v>475</v>
      </c>
      <c r="E2" s="92"/>
      <c r="F2" s="94"/>
      <c r="G2" s="92"/>
      <c r="H2" s="94"/>
      <c r="I2" s="92"/>
      <c r="J2" s="95" t="s">
        <v>476</v>
      </c>
      <c r="K2" s="92"/>
      <c r="L2" s="94" t="s">
        <v>475</v>
      </c>
      <c r="M2" s="96"/>
      <c r="N2" s="94"/>
      <c r="O2" s="97" t="s">
        <v>496</v>
      </c>
      <c r="P2" s="98" t="s">
        <v>477</v>
      </c>
      <c r="Q2" s="99" t="s">
        <v>498</v>
      </c>
      <c r="R2" s="99" t="s">
        <v>498</v>
      </c>
      <c r="S2" s="92"/>
      <c r="T2" s="94"/>
      <c r="U2" s="92"/>
      <c r="V2" s="94"/>
      <c r="W2" s="92"/>
      <c r="X2" s="100" t="s">
        <v>517</v>
      </c>
      <c r="Y2" s="101"/>
      <c r="Z2" s="102" t="s">
        <v>492</v>
      </c>
      <c r="AA2" s="92"/>
      <c r="AB2" s="94"/>
      <c r="AC2" s="92"/>
      <c r="AD2" s="94"/>
      <c r="AE2" s="101"/>
      <c r="AF2" s="102" t="s">
        <v>493</v>
      </c>
      <c r="AG2" s="92"/>
      <c r="AH2" s="103"/>
      <c r="AI2" s="104"/>
      <c r="AJ2" s="31"/>
      <c r="AK2" s="31"/>
      <c r="AL2" s="31"/>
    </row>
    <row r="3" spans="1:38" s="7" customFormat="1" thickBot="1" x14ac:dyDescent="0.25">
      <c r="A3" s="105"/>
      <c r="B3" s="106"/>
      <c r="C3" s="106"/>
      <c r="D3" s="107" t="s">
        <v>6</v>
      </c>
      <c r="E3" s="106"/>
      <c r="F3" s="108" t="s">
        <v>7</v>
      </c>
      <c r="G3" s="106"/>
      <c r="H3" s="108" t="s">
        <v>477</v>
      </c>
      <c r="I3" s="106"/>
      <c r="J3" s="107" t="s">
        <v>6</v>
      </c>
      <c r="K3" s="106"/>
      <c r="L3" s="108" t="s">
        <v>6</v>
      </c>
      <c r="M3" s="109"/>
      <c r="N3" s="108" t="s">
        <v>7</v>
      </c>
      <c r="O3" s="110" t="s">
        <v>497</v>
      </c>
      <c r="P3" s="111" t="s">
        <v>497</v>
      </c>
      <c r="Q3" s="112"/>
      <c r="R3" s="113"/>
      <c r="S3" s="106"/>
      <c r="T3" s="108" t="s">
        <v>6</v>
      </c>
      <c r="U3" s="106"/>
      <c r="V3" s="108" t="s">
        <v>6</v>
      </c>
      <c r="W3" s="106"/>
      <c r="X3" s="108" t="s">
        <v>14</v>
      </c>
      <c r="Y3" s="114"/>
      <c r="Z3" s="115" t="s">
        <v>14</v>
      </c>
      <c r="AA3" s="106"/>
      <c r="AB3" s="108" t="s">
        <v>15</v>
      </c>
      <c r="AC3" s="106"/>
      <c r="AD3" s="108" t="s">
        <v>477</v>
      </c>
      <c r="AE3" s="114"/>
      <c r="AF3" s="115" t="s">
        <v>14</v>
      </c>
      <c r="AG3" s="106"/>
      <c r="AH3" s="116" t="s">
        <v>477</v>
      </c>
      <c r="AI3" s="117"/>
      <c r="AJ3" s="24"/>
      <c r="AK3" s="24"/>
      <c r="AL3" s="24"/>
    </row>
    <row r="4" spans="1:38" ht="15.75" thickTop="1" x14ac:dyDescent="0.25">
      <c r="B4" s="1" t="s">
        <v>677</v>
      </c>
      <c r="C4" s="1" t="s">
        <v>678</v>
      </c>
      <c r="E4" s="1" t="s">
        <v>679</v>
      </c>
      <c r="G4" s="1" t="s">
        <v>17</v>
      </c>
      <c r="I4" s="1" t="s">
        <v>680</v>
      </c>
      <c r="N4" s="118"/>
      <c r="O4" s="120"/>
      <c r="P4" s="121"/>
      <c r="Q4" s="122"/>
      <c r="R4" s="123"/>
      <c r="T4" s="2"/>
      <c r="V4" s="2"/>
      <c r="X4" s="118"/>
      <c r="Y4" s="124"/>
      <c r="Z4" s="125"/>
      <c r="AF4" s="141"/>
      <c r="AG4" s="119"/>
      <c r="AH4" s="127"/>
      <c r="AI4" s="128"/>
    </row>
    <row r="5" spans="1:38" x14ac:dyDescent="0.25">
      <c r="B5" s="1" t="s">
        <v>681</v>
      </c>
      <c r="I5" s="1" t="s">
        <v>678</v>
      </c>
      <c r="K5" s="1" t="s">
        <v>682</v>
      </c>
      <c r="N5" s="118"/>
      <c r="O5" s="120"/>
      <c r="P5" s="121"/>
      <c r="Q5" s="122"/>
      <c r="R5" s="123"/>
      <c r="S5" s="1" t="s">
        <v>496</v>
      </c>
      <c r="T5" s="2"/>
      <c r="U5" s="1" t="s">
        <v>496</v>
      </c>
      <c r="V5" s="2"/>
      <c r="W5" s="1" t="s">
        <v>973</v>
      </c>
      <c r="X5" s="146"/>
      <c r="Y5" s="124"/>
      <c r="Z5" s="125"/>
      <c r="AH5" s="127"/>
      <c r="AI5" s="128"/>
    </row>
    <row r="6" spans="1:38" ht="18.75" customHeight="1" x14ac:dyDescent="0.25">
      <c r="B6" s="1" t="s">
        <v>683</v>
      </c>
      <c r="I6" s="1" t="s">
        <v>678</v>
      </c>
      <c r="K6" s="1" t="s">
        <v>684</v>
      </c>
      <c r="M6" s="1" t="s">
        <v>685</v>
      </c>
      <c r="N6" s="118" t="s">
        <v>1025</v>
      </c>
      <c r="O6" s="120" t="s">
        <v>1014</v>
      </c>
      <c r="P6" s="121"/>
      <c r="Q6" s="122" t="s">
        <v>1017</v>
      </c>
      <c r="R6" s="123"/>
      <c r="S6" s="1" t="s">
        <v>496</v>
      </c>
      <c r="T6" s="2"/>
      <c r="U6" s="1" t="s">
        <v>496</v>
      </c>
      <c r="V6" s="2"/>
      <c r="W6" s="1" t="s">
        <v>973</v>
      </c>
      <c r="X6" s="126" t="s">
        <v>1033</v>
      </c>
      <c r="Y6" s="124"/>
      <c r="Z6" s="125"/>
      <c r="AA6" s="1" t="s">
        <v>975</v>
      </c>
      <c r="AC6" s="1" t="s">
        <v>3</v>
      </c>
      <c r="AE6" s="4" t="s">
        <v>976</v>
      </c>
      <c r="AH6" s="127" t="s">
        <v>251</v>
      </c>
      <c r="AI6" s="128"/>
    </row>
    <row r="7" spans="1:38" ht="18.75" customHeight="1" x14ac:dyDescent="0.25">
      <c r="B7" s="1" t="s">
        <v>686</v>
      </c>
      <c r="I7" s="1" t="s">
        <v>678</v>
      </c>
      <c r="K7" s="1" t="s">
        <v>687</v>
      </c>
      <c r="M7" s="1" t="s">
        <v>688</v>
      </c>
      <c r="N7" s="118" t="s">
        <v>1026</v>
      </c>
      <c r="O7" s="120" t="s">
        <v>1014</v>
      </c>
      <c r="P7" s="121"/>
      <c r="Q7" s="122" t="s">
        <v>1017</v>
      </c>
      <c r="R7" s="123"/>
      <c r="S7" s="1" t="s">
        <v>496</v>
      </c>
      <c r="T7" s="2"/>
      <c r="U7" s="1" t="s">
        <v>496</v>
      </c>
      <c r="V7" s="2"/>
      <c r="W7" s="1" t="s">
        <v>973</v>
      </c>
      <c r="X7" s="126" t="s">
        <v>1033</v>
      </c>
      <c r="Y7" s="124"/>
      <c r="Z7" s="125" t="s">
        <v>1036</v>
      </c>
      <c r="AH7" s="127" t="s">
        <v>251</v>
      </c>
      <c r="AI7" s="128"/>
    </row>
    <row r="8" spans="1:38" x14ac:dyDescent="0.25">
      <c r="B8" s="1" t="s">
        <v>689</v>
      </c>
      <c r="I8" s="1" t="s">
        <v>678</v>
      </c>
      <c r="K8" s="1" t="s">
        <v>690</v>
      </c>
      <c r="M8" s="1" t="s">
        <v>691</v>
      </c>
      <c r="N8" s="118" t="s">
        <v>1000</v>
      </c>
      <c r="O8" s="120" t="s">
        <v>1014</v>
      </c>
      <c r="P8" s="121"/>
      <c r="Q8" s="122" t="s">
        <v>1017</v>
      </c>
      <c r="R8" s="123"/>
      <c r="S8" s="1" t="s">
        <v>496</v>
      </c>
      <c r="T8" s="2"/>
      <c r="U8" s="1" t="s">
        <v>496</v>
      </c>
      <c r="V8" s="2"/>
      <c r="W8" s="1" t="s">
        <v>973</v>
      </c>
      <c r="X8" s="126" t="s">
        <v>1033</v>
      </c>
      <c r="Y8" s="124"/>
      <c r="Z8" s="125"/>
      <c r="AA8" s="1" t="s">
        <v>977</v>
      </c>
      <c r="AC8" s="1" t="s">
        <v>3</v>
      </c>
      <c r="AE8" s="4" t="s">
        <v>976</v>
      </c>
      <c r="AH8" s="127" t="s">
        <v>251</v>
      </c>
      <c r="AI8" s="128"/>
    </row>
    <row r="9" spans="1:38" x14ac:dyDescent="0.25">
      <c r="B9" s="1" t="s">
        <v>692</v>
      </c>
      <c r="I9" s="1" t="s">
        <v>678</v>
      </c>
      <c r="K9" s="1" t="s">
        <v>693</v>
      </c>
      <c r="M9" s="1" t="s">
        <v>694</v>
      </c>
      <c r="N9" s="118"/>
      <c r="O9" s="120" t="s">
        <v>1014</v>
      </c>
      <c r="P9" s="121"/>
      <c r="Q9" s="122" t="s">
        <v>1017</v>
      </c>
      <c r="R9" s="123"/>
      <c r="S9" s="1" t="s">
        <v>496</v>
      </c>
      <c r="T9" s="2"/>
      <c r="U9" s="1" t="s">
        <v>496</v>
      </c>
      <c r="V9" s="2"/>
      <c r="W9" s="1" t="s">
        <v>973</v>
      </c>
      <c r="X9" s="126" t="s">
        <v>1033</v>
      </c>
      <c r="Y9" s="124"/>
      <c r="Z9" s="125"/>
      <c r="AH9" s="127" t="s">
        <v>251</v>
      </c>
      <c r="AI9" s="128"/>
    </row>
    <row r="10" spans="1:38" x14ac:dyDescent="0.25">
      <c r="B10" s="1" t="s">
        <v>695</v>
      </c>
      <c r="I10" s="1" t="s">
        <v>678</v>
      </c>
      <c r="K10" s="1" t="s">
        <v>696</v>
      </c>
      <c r="M10" s="1" t="s">
        <v>697</v>
      </c>
      <c r="N10" s="118"/>
      <c r="O10" s="120" t="s">
        <v>1014</v>
      </c>
      <c r="P10" s="121"/>
      <c r="Q10" s="144" t="s">
        <v>1020</v>
      </c>
      <c r="R10" s="123"/>
      <c r="S10" s="1" t="s">
        <v>496</v>
      </c>
      <c r="T10" s="2"/>
      <c r="U10" s="1" t="s">
        <v>496</v>
      </c>
      <c r="V10" s="2"/>
      <c r="W10" s="1" t="s">
        <v>973</v>
      </c>
      <c r="X10" s="126" t="s">
        <v>1033</v>
      </c>
      <c r="Y10" s="124"/>
      <c r="Z10" s="125"/>
      <c r="AH10" s="127" t="s">
        <v>251</v>
      </c>
      <c r="AI10" s="128"/>
    </row>
    <row r="11" spans="1:38" x14ac:dyDescent="0.25">
      <c r="B11" s="1" t="s">
        <v>698</v>
      </c>
      <c r="I11" s="1" t="s">
        <v>678</v>
      </c>
      <c r="K11" s="1" t="s">
        <v>699</v>
      </c>
      <c r="M11" s="1" t="s">
        <v>700</v>
      </c>
      <c r="N11" s="118"/>
      <c r="O11" s="120" t="s">
        <v>1014</v>
      </c>
      <c r="P11" s="121"/>
      <c r="Q11" s="122" t="s">
        <v>1017</v>
      </c>
      <c r="R11" s="123"/>
      <c r="S11" s="1" t="s">
        <v>496</v>
      </c>
      <c r="T11" s="2"/>
      <c r="U11" s="1" t="s">
        <v>496</v>
      </c>
      <c r="V11" s="2"/>
      <c r="W11" s="1" t="s">
        <v>973</v>
      </c>
      <c r="X11" s="126" t="s">
        <v>1033</v>
      </c>
      <c r="Y11" s="124"/>
      <c r="Z11" s="125"/>
      <c r="AH11" s="127" t="s">
        <v>251</v>
      </c>
      <c r="AI11" s="128"/>
    </row>
    <row r="12" spans="1:38" x14ac:dyDescent="0.25">
      <c r="B12" s="1" t="s">
        <v>701</v>
      </c>
      <c r="I12" s="1" t="s">
        <v>678</v>
      </c>
      <c r="K12" s="1" t="s">
        <v>702</v>
      </c>
      <c r="M12" s="1" t="s">
        <v>703</v>
      </c>
      <c r="N12" s="118" t="s">
        <v>1001</v>
      </c>
      <c r="O12" s="120" t="s">
        <v>1014</v>
      </c>
      <c r="P12" s="121"/>
      <c r="Q12" s="122" t="s">
        <v>1017</v>
      </c>
      <c r="R12" s="123"/>
      <c r="S12" s="1" t="s">
        <v>496</v>
      </c>
      <c r="T12" s="2"/>
      <c r="U12" s="1" t="s">
        <v>496</v>
      </c>
      <c r="V12" s="2"/>
      <c r="W12" s="1" t="s">
        <v>496</v>
      </c>
      <c r="X12" s="126" t="s">
        <v>1033</v>
      </c>
      <c r="Y12" s="124"/>
      <c r="Z12" s="125"/>
      <c r="AA12" s="1" t="s">
        <v>978</v>
      </c>
      <c r="AC12" s="1" t="s">
        <v>3</v>
      </c>
      <c r="AE12" s="4" t="s">
        <v>976</v>
      </c>
      <c r="AH12" s="127" t="s">
        <v>251</v>
      </c>
      <c r="AI12" s="128"/>
    </row>
    <row r="13" spans="1:38" x14ac:dyDescent="0.25">
      <c r="B13" s="1" t="s">
        <v>704</v>
      </c>
      <c r="I13" s="1" t="s">
        <v>678</v>
      </c>
      <c r="K13" s="1" t="s">
        <v>705</v>
      </c>
      <c r="M13" s="1" t="s">
        <v>706</v>
      </c>
      <c r="N13" s="118"/>
      <c r="O13" s="120" t="s">
        <v>1014</v>
      </c>
      <c r="P13" s="121"/>
      <c r="Q13" s="122"/>
      <c r="R13" s="123"/>
      <c r="S13" s="1" t="s">
        <v>496</v>
      </c>
      <c r="T13" s="2"/>
      <c r="U13" s="1" t="s">
        <v>496</v>
      </c>
      <c r="V13" s="2"/>
      <c r="W13" s="1" t="s">
        <v>496</v>
      </c>
      <c r="X13" s="126" t="s">
        <v>1033</v>
      </c>
      <c r="Y13" s="124"/>
      <c r="Z13" s="125"/>
      <c r="AH13" s="127" t="s">
        <v>251</v>
      </c>
      <c r="AI13" s="128"/>
    </row>
    <row r="14" spans="1:38" x14ac:dyDescent="0.25">
      <c r="B14" s="1" t="s">
        <v>707</v>
      </c>
      <c r="I14" s="1" t="s">
        <v>678</v>
      </c>
      <c r="K14" s="1" t="s">
        <v>708</v>
      </c>
      <c r="M14" s="1" t="s">
        <v>709</v>
      </c>
      <c r="N14" s="118"/>
      <c r="O14" s="120" t="s">
        <v>1014</v>
      </c>
      <c r="P14" s="121"/>
      <c r="Q14" s="122"/>
      <c r="R14" s="123"/>
      <c r="S14" s="1" t="s">
        <v>496</v>
      </c>
      <c r="T14" s="2"/>
      <c r="U14" s="1" t="s">
        <v>496</v>
      </c>
      <c r="V14" s="2"/>
      <c r="W14" s="1" t="s">
        <v>496</v>
      </c>
      <c r="X14" s="126" t="s">
        <v>1033</v>
      </c>
      <c r="Y14" s="124"/>
      <c r="Z14" s="125"/>
      <c r="AH14" s="127" t="s">
        <v>251</v>
      </c>
      <c r="AI14" s="128"/>
    </row>
    <row r="15" spans="1:38" x14ac:dyDescent="0.25">
      <c r="B15" s="1" t="s">
        <v>710</v>
      </c>
      <c r="I15" s="1" t="s">
        <v>678</v>
      </c>
      <c r="K15" s="1" t="s">
        <v>711</v>
      </c>
      <c r="M15" s="1" t="s">
        <v>712</v>
      </c>
      <c r="N15" s="118" t="s">
        <v>1002</v>
      </c>
      <c r="O15" s="120" t="s">
        <v>1014</v>
      </c>
      <c r="P15" s="121"/>
      <c r="Q15" s="122"/>
      <c r="R15" s="123"/>
      <c r="S15" s="1" t="s">
        <v>496</v>
      </c>
      <c r="T15" s="2"/>
      <c r="U15" s="1" t="s">
        <v>496</v>
      </c>
      <c r="V15" s="2"/>
      <c r="W15" s="1" t="s">
        <v>496</v>
      </c>
      <c r="X15" s="126" t="s">
        <v>1033</v>
      </c>
      <c r="Y15" s="124"/>
      <c r="Z15" s="125"/>
      <c r="AH15" s="127" t="s">
        <v>251</v>
      </c>
      <c r="AI15" s="128"/>
    </row>
    <row r="16" spans="1:38" x14ac:dyDescent="0.25">
      <c r="B16" s="1" t="s">
        <v>713</v>
      </c>
      <c r="I16" s="1" t="s">
        <v>678</v>
      </c>
      <c r="K16" s="1" t="s">
        <v>714</v>
      </c>
      <c r="M16" s="1" t="s">
        <v>715</v>
      </c>
      <c r="N16" s="118" t="s">
        <v>1002</v>
      </c>
      <c r="O16" s="120" t="s">
        <v>1014</v>
      </c>
      <c r="P16" s="121"/>
      <c r="Q16" s="122"/>
      <c r="R16" s="123"/>
      <c r="S16" s="1" t="s">
        <v>496</v>
      </c>
      <c r="T16" s="2"/>
      <c r="U16" s="1" t="s">
        <v>496</v>
      </c>
      <c r="V16" s="2"/>
      <c r="W16" s="1" t="s">
        <v>496</v>
      </c>
      <c r="X16" s="126" t="s">
        <v>1033</v>
      </c>
      <c r="Y16" s="124"/>
      <c r="Z16" s="125"/>
      <c r="AA16" s="1" t="s">
        <v>979</v>
      </c>
      <c r="AC16" s="1" t="s">
        <v>3</v>
      </c>
      <c r="AE16" s="4" t="s">
        <v>976</v>
      </c>
      <c r="AH16" s="127" t="s">
        <v>251</v>
      </c>
      <c r="AI16" s="128"/>
    </row>
    <row r="17" spans="2:35" x14ac:dyDescent="0.25">
      <c r="B17" s="1" t="s">
        <v>716</v>
      </c>
      <c r="I17" s="1" t="s">
        <v>678</v>
      </c>
      <c r="K17" s="1" t="s">
        <v>717</v>
      </c>
      <c r="M17" s="1" t="s">
        <v>718</v>
      </c>
      <c r="N17" s="118" t="s">
        <v>1037</v>
      </c>
      <c r="O17" s="120" t="s">
        <v>1014</v>
      </c>
      <c r="P17" s="121"/>
      <c r="Q17" s="122"/>
      <c r="R17" s="123"/>
      <c r="S17" s="1" t="s">
        <v>496</v>
      </c>
      <c r="T17" s="2"/>
      <c r="U17" s="1" t="s">
        <v>496</v>
      </c>
      <c r="V17" s="2"/>
      <c r="W17" s="1" t="s">
        <v>496</v>
      </c>
      <c r="X17" s="126" t="s">
        <v>1033</v>
      </c>
      <c r="Y17" s="124"/>
      <c r="Z17" s="125"/>
      <c r="AA17" s="1" t="s">
        <v>980</v>
      </c>
      <c r="AC17" s="1" t="s">
        <v>3</v>
      </c>
      <c r="AE17" s="4" t="s">
        <v>976</v>
      </c>
      <c r="AH17" s="127" t="s">
        <v>251</v>
      </c>
      <c r="AI17" s="128"/>
    </row>
    <row r="18" spans="2:35" x14ac:dyDescent="0.25">
      <c r="B18" s="1" t="s">
        <v>719</v>
      </c>
      <c r="I18" s="1" t="s">
        <v>678</v>
      </c>
      <c r="K18" s="1" t="s">
        <v>720</v>
      </c>
      <c r="M18" s="1" t="s">
        <v>721</v>
      </c>
      <c r="N18" s="118" t="s">
        <v>1003</v>
      </c>
      <c r="O18" s="120" t="s">
        <v>1014</v>
      </c>
      <c r="P18" s="121"/>
      <c r="Q18" s="122"/>
      <c r="R18" s="123"/>
      <c r="S18" s="1" t="s">
        <v>496</v>
      </c>
      <c r="T18" s="2"/>
      <c r="U18" s="1" t="s">
        <v>496</v>
      </c>
      <c r="V18" s="2"/>
      <c r="W18" s="1" t="s">
        <v>496</v>
      </c>
      <c r="X18" s="126" t="s">
        <v>1033</v>
      </c>
      <c r="Y18" s="124"/>
      <c r="Z18" s="125"/>
      <c r="AH18" s="127" t="s">
        <v>251</v>
      </c>
      <c r="AI18" s="128"/>
    </row>
    <row r="19" spans="2:35" x14ac:dyDescent="0.25">
      <c r="B19" s="1" t="s">
        <v>722</v>
      </c>
      <c r="I19" s="1" t="s">
        <v>678</v>
      </c>
      <c r="K19" s="1" t="s">
        <v>723</v>
      </c>
      <c r="N19" s="118"/>
      <c r="O19" s="120"/>
      <c r="P19" s="121"/>
      <c r="Q19" s="122"/>
      <c r="R19" s="123"/>
      <c r="S19" s="1" t="s">
        <v>496</v>
      </c>
      <c r="T19" s="2"/>
      <c r="U19" s="1" t="s">
        <v>496</v>
      </c>
      <c r="V19" s="2"/>
      <c r="W19" s="1" t="s">
        <v>973</v>
      </c>
      <c r="X19" s="126"/>
      <c r="Y19" s="124"/>
      <c r="Z19" s="125"/>
      <c r="AH19" s="127"/>
      <c r="AI19" s="128"/>
    </row>
    <row r="20" spans="2:35" x14ac:dyDescent="0.25">
      <c r="B20" s="1" t="s">
        <v>724</v>
      </c>
      <c r="I20" s="1" t="s">
        <v>678</v>
      </c>
      <c r="K20" s="1" t="s">
        <v>725</v>
      </c>
      <c r="M20" s="1" t="s">
        <v>726</v>
      </c>
      <c r="N20" s="118" t="s">
        <v>1002</v>
      </c>
      <c r="O20" s="120" t="s">
        <v>1014</v>
      </c>
      <c r="P20" s="121"/>
      <c r="Q20" s="122"/>
      <c r="R20" s="123"/>
      <c r="S20" s="1" t="s">
        <v>496</v>
      </c>
      <c r="T20" s="2"/>
      <c r="U20" s="1" t="s">
        <v>496</v>
      </c>
      <c r="V20" s="2"/>
      <c r="W20" s="1" t="s">
        <v>973</v>
      </c>
      <c r="X20" s="126" t="s">
        <v>1032</v>
      </c>
      <c r="Y20" s="124"/>
      <c r="Z20" s="125"/>
      <c r="AA20" s="1" t="s">
        <v>981</v>
      </c>
      <c r="AC20" s="1" t="s">
        <v>3</v>
      </c>
      <c r="AE20" s="4" t="s">
        <v>976</v>
      </c>
      <c r="AH20" s="127" t="s">
        <v>291</v>
      </c>
      <c r="AI20" s="128"/>
    </row>
    <row r="21" spans="2:35" x14ac:dyDescent="0.25">
      <c r="B21" s="1" t="s">
        <v>727</v>
      </c>
      <c r="I21" s="1" t="s">
        <v>678</v>
      </c>
      <c r="K21" s="1" t="s">
        <v>728</v>
      </c>
      <c r="N21" s="118"/>
      <c r="O21" s="120"/>
      <c r="P21" s="121"/>
      <c r="Q21" s="122"/>
      <c r="R21" s="123"/>
      <c r="S21" s="1" t="s">
        <v>496</v>
      </c>
      <c r="T21" s="2"/>
      <c r="U21" s="1" t="s">
        <v>496</v>
      </c>
      <c r="V21" s="2"/>
      <c r="W21" s="1" t="s">
        <v>973</v>
      </c>
      <c r="X21" s="126"/>
      <c r="Y21" s="124"/>
      <c r="Z21" s="125"/>
      <c r="AH21" s="127"/>
      <c r="AI21" s="128"/>
    </row>
    <row r="22" spans="2:35" x14ac:dyDescent="0.25">
      <c r="B22" s="1" t="s">
        <v>729</v>
      </c>
      <c r="I22" s="1" t="s">
        <v>678</v>
      </c>
      <c r="K22" s="1" t="s">
        <v>730</v>
      </c>
      <c r="M22" s="1" t="s">
        <v>731</v>
      </c>
      <c r="N22" s="142" t="s">
        <v>1004</v>
      </c>
      <c r="O22" s="120" t="s">
        <v>1014</v>
      </c>
      <c r="P22" s="121"/>
      <c r="Q22" s="122"/>
      <c r="R22" s="123"/>
      <c r="S22" s="1" t="s">
        <v>496</v>
      </c>
      <c r="T22" s="2"/>
      <c r="U22" s="1" t="s">
        <v>496</v>
      </c>
      <c r="V22" s="2"/>
      <c r="W22" s="1" t="s">
        <v>973</v>
      </c>
      <c r="X22" s="126" t="s">
        <v>1033</v>
      </c>
      <c r="Y22" s="124"/>
      <c r="Z22" s="125"/>
      <c r="AH22" s="127" t="s">
        <v>301</v>
      </c>
      <c r="AI22" s="128"/>
    </row>
    <row r="23" spans="2:35" x14ac:dyDescent="0.25">
      <c r="B23" s="1" t="s">
        <v>732</v>
      </c>
      <c r="I23" s="1" t="s">
        <v>678</v>
      </c>
      <c r="K23" s="1" t="s">
        <v>733</v>
      </c>
      <c r="M23" s="1" t="s">
        <v>734</v>
      </c>
      <c r="N23" s="118" t="s">
        <v>1002</v>
      </c>
      <c r="O23" s="120" t="s">
        <v>1014</v>
      </c>
      <c r="P23" s="121"/>
      <c r="Q23" s="122"/>
      <c r="R23" s="123"/>
      <c r="S23" s="1" t="s">
        <v>496</v>
      </c>
      <c r="T23" s="2"/>
      <c r="U23" s="1" t="s">
        <v>496</v>
      </c>
      <c r="V23" s="2"/>
      <c r="W23" s="1" t="s">
        <v>496</v>
      </c>
      <c r="X23" s="126" t="s">
        <v>1033</v>
      </c>
      <c r="Y23" s="124"/>
      <c r="Z23" s="125"/>
      <c r="AA23" s="1" t="s">
        <v>982</v>
      </c>
      <c r="AC23" s="1" t="s">
        <v>3</v>
      </c>
      <c r="AE23" s="4" t="s">
        <v>976</v>
      </c>
      <c r="AH23" s="127" t="s">
        <v>251</v>
      </c>
      <c r="AI23" s="128"/>
    </row>
    <row r="24" spans="2:35" x14ac:dyDescent="0.25">
      <c r="B24" s="1" t="s">
        <v>735</v>
      </c>
      <c r="I24" s="1" t="s">
        <v>678</v>
      </c>
      <c r="K24" s="1" t="s">
        <v>736</v>
      </c>
      <c r="M24" s="1" t="s">
        <v>737</v>
      </c>
      <c r="N24" s="118" t="s">
        <v>1002</v>
      </c>
      <c r="O24" s="120" t="s">
        <v>1014</v>
      </c>
      <c r="P24" s="121"/>
      <c r="Q24" s="122" t="s">
        <v>1017</v>
      </c>
      <c r="R24" s="123"/>
      <c r="S24" s="1" t="s">
        <v>496</v>
      </c>
      <c r="T24" s="2"/>
      <c r="U24" s="1" t="s">
        <v>496</v>
      </c>
      <c r="V24" s="2"/>
      <c r="W24" s="1" t="s">
        <v>496</v>
      </c>
      <c r="X24" s="126" t="s">
        <v>1033</v>
      </c>
      <c r="Y24" s="124"/>
      <c r="Z24" s="125"/>
      <c r="AA24" s="1" t="s">
        <v>983</v>
      </c>
      <c r="AC24" s="1" t="s">
        <v>3</v>
      </c>
      <c r="AE24" s="4" t="s">
        <v>976</v>
      </c>
      <c r="AH24" s="127"/>
      <c r="AI24" s="128"/>
    </row>
    <row r="25" spans="2:35" x14ac:dyDescent="0.25">
      <c r="B25" s="1" t="s">
        <v>738</v>
      </c>
      <c r="I25" s="1" t="s">
        <v>678</v>
      </c>
      <c r="K25" s="1" t="s">
        <v>739</v>
      </c>
      <c r="M25" s="1" t="s">
        <v>740</v>
      </c>
      <c r="N25" s="142" t="s">
        <v>1004</v>
      </c>
      <c r="O25" s="120" t="s">
        <v>1014</v>
      </c>
      <c r="P25" s="121"/>
      <c r="Q25" s="122" t="s">
        <v>1017</v>
      </c>
      <c r="R25" s="123"/>
      <c r="S25" s="1" t="s">
        <v>496</v>
      </c>
      <c r="T25" s="2"/>
      <c r="U25" s="1" t="s">
        <v>496</v>
      </c>
      <c r="V25" s="2"/>
      <c r="W25" s="1" t="s">
        <v>496</v>
      </c>
      <c r="X25" s="126" t="s">
        <v>1033</v>
      </c>
      <c r="Y25" s="124"/>
      <c r="Z25" s="125"/>
      <c r="AA25" s="1" t="s">
        <v>983</v>
      </c>
      <c r="AC25" s="1" t="s">
        <v>3</v>
      </c>
      <c r="AE25" s="4" t="s">
        <v>976</v>
      </c>
      <c r="AH25" s="127"/>
      <c r="AI25" s="128"/>
    </row>
    <row r="26" spans="2:35" x14ac:dyDescent="0.25">
      <c r="B26" s="1" t="s">
        <v>741</v>
      </c>
      <c r="I26" s="1" t="s">
        <v>678</v>
      </c>
      <c r="K26" s="1" t="s">
        <v>742</v>
      </c>
      <c r="M26" s="1" t="s">
        <v>743</v>
      </c>
      <c r="N26" s="118" t="s">
        <v>1005</v>
      </c>
      <c r="O26" s="120" t="s">
        <v>1016</v>
      </c>
      <c r="P26" s="121"/>
      <c r="Q26" s="122"/>
      <c r="R26" s="123"/>
      <c r="S26" s="1" t="s">
        <v>496</v>
      </c>
      <c r="T26" s="2"/>
      <c r="U26" s="1" t="s">
        <v>496</v>
      </c>
      <c r="V26" s="2"/>
      <c r="W26" s="1" t="s">
        <v>973</v>
      </c>
      <c r="X26" s="126" t="s">
        <v>1033</v>
      </c>
      <c r="Y26" s="124"/>
      <c r="Z26" s="125"/>
      <c r="AH26" s="127"/>
      <c r="AI26" s="128"/>
    </row>
    <row r="27" spans="2:35" x14ac:dyDescent="0.25">
      <c r="B27" s="1" t="s">
        <v>744</v>
      </c>
      <c r="I27" s="1" t="s">
        <v>678</v>
      </c>
      <c r="K27" s="1" t="s">
        <v>745</v>
      </c>
      <c r="N27" s="118"/>
      <c r="O27" s="120"/>
      <c r="P27" s="121"/>
      <c r="Q27" s="122"/>
      <c r="R27" s="123"/>
      <c r="S27" s="1" t="s">
        <v>496</v>
      </c>
      <c r="T27" s="2"/>
      <c r="U27" s="1" t="s">
        <v>496</v>
      </c>
      <c r="V27" s="2"/>
      <c r="W27" s="1" t="s">
        <v>973</v>
      </c>
      <c r="X27" s="126"/>
      <c r="Y27" s="124"/>
      <c r="Z27" s="125"/>
      <c r="AA27" s="1" t="s">
        <v>984</v>
      </c>
      <c r="AC27" s="1" t="s">
        <v>3</v>
      </c>
      <c r="AE27" s="4" t="s">
        <v>976</v>
      </c>
      <c r="AH27" s="127"/>
      <c r="AI27" s="128"/>
    </row>
    <row r="28" spans="2:35" x14ac:dyDescent="0.25">
      <c r="B28" s="1" t="s">
        <v>746</v>
      </c>
      <c r="I28" s="1" t="s">
        <v>678</v>
      </c>
      <c r="K28" s="1" t="s">
        <v>747</v>
      </c>
      <c r="M28" s="1" t="s">
        <v>748</v>
      </c>
      <c r="N28" s="118" t="s">
        <v>1006</v>
      </c>
      <c r="O28" s="120" t="s">
        <v>1014</v>
      </c>
      <c r="P28" s="121"/>
      <c r="Q28" s="122" t="s">
        <v>1017</v>
      </c>
      <c r="R28" s="123"/>
      <c r="S28" s="1" t="s">
        <v>496</v>
      </c>
      <c r="T28" s="2"/>
      <c r="U28" s="1" t="s">
        <v>496</v>
      </c>
      <c r="V28" s="2"/>
      <c r="W28" s="1" t="s">
        <v>496</v>
      </c>
      <c r="X28" s="126" t="s">
        <v>1033</v>
      </c>
      <c r="Y28" s="124"/>
      <c r="Z28" s="125"/>
      <c r="AA28" s="1" t="s">
        <v>985</v>
      </c>
      <c r="AC28" s="1" t="s">
        <v>3</v>
      </c>
      <c r="AE28" s="4" t="s">
        <v>976</v>
      </c>
      <c r="AH28" s="127"/>
      <c r="AI28" s="128"/>
    </row>
    <row r="29" spans="2:35" x14ac:dyDescent="0.25">
      <c r="B29" s="1" t="s">
        <v>749</v>
      </c>
      <c r="I29" s="1" t="s">
        <v>678</v>
      </c>
      <c r="K29" s="1" t="s">
        <v>750</v>
      </c>
      <c r="M29" s="1" t="s">
        <v>751</v>
      </c>
      <c r="N29" s="118" t="s">
        <v>1006</v>
      </c>
      <c r="O29" s="120" t="s">
        <v>1014</v>
      </c>
      <c r="P29" s="139"/>
      <c r="Q29" s="122" t="s">
        <v>1017</v>
      </c>
      <c r="R29" s="140"/>
      <c r="S29" s="1" t="s">
        <v>496</v>
      </c>
      <c r="T29" s="2"/>
      <c r="U29" s="1" t="s">
        <v>496</v>
      </c>
      <c r="V29" s="2"/>
      <c r="W29" s="1" t="s">
        <v>496</v>
      </c>
      <c r="X29" s="126" t="s">
        <v>1033</v>
      </c>
      <c r="Y29" s="124"/>
      <c r="Z29" s="125"/>
      <c r="AH29" s="127"/>
      <c r="AI29" s="128"/>
    </row>
    <row r="30" spans="2:35" x14ac:dyDescent="0.25">
      <c r="B30" s="1" t="s">
        <v>752</v>
      </c>
      <c r="I30" s="1" t="s">
        <v>678</v>
      </c>
      <c r="K30" s="1" t="s">
        <v>753</v>
      </c>
      <c r="M30" s="1" t="s">
        <v>754</v>
      </c>
      <c r="N30" s="118" t="s">
        <v>1007</v>
      </c>
      <c r="O30" s="120" t="s">
        <v>1014</v>
      </c>
      <c r="P30" s="139"/>
      <c r="Q30" s="122" t="s">
        <v>1018</v>
      </c>
      <c r="R30" s="140"/>
      <c r="S30" s="1" t="s">
        <v>496</v>
      </c>
      <c r="T30" s="2"/>
      <c r="U30" s="1" t="s">
        <v>496</v>
      </c>
      <c r="V30" s="2"/>
      <c r="W30" s="1" t="s">
        <v>973</v>
      </c>
      <c r="X30" s="126"/>
      <c r="Y30" s="124"/>
      <c r="Z30" s="125"/>
      <c r="AA30" s="1" t="s">
        <v>984</v>
      </c>
      <c r="AC30" s="1" t="s">
        <v>3</v>
      </c>
      <c r="AE30" s="4" t="s">
        <v>976</v>
      </c>
      <c r="AH30" s="127"/>
      <c r="AI30" s="128"/>
    </row>
    <row r="31" spans="2:35" x14ac:dyDescent="0.25">
      <c r="B31" s="1" t="s">
        <v>755</v>
      </c>
      <c r="I31" s="1" t="s">
        <v>678</v>
      </c>
      <c r="K31" s="1" t="s">
        <v>756</v>
      </c>
      <c r="M31" s="1" t="s">
        <v>757</v>
      </c>
      <c r="N31" s="118" t="s">
        <v>1002</v>
      </c>
      <c r="O31" s="120" t="s">
        <v>1014</v>
      </c>
      <c r="P31" s="139"/>
      <c r="Q31" s="122" t="s">
        <v>1017</v>
      </c>
      <c r="R31" s="140"/>
      <c r="S31" s="1" t="s">
        <v>496</v>
      </c>
      <c r="T31" s="2"/>
      <c r="U31" s="1" t="s">
        <v>496</v>
      </c>
      <c r="V31" s="2"/>
      <c r="W31" s="1" t="s">
        <v>496</v>
      </c>
      <c r="X31" s="126" t="s">
        <v>1033</v>
      </c>
      <c r="Y31" s="124"/>
      <c r="Z31" s="125"/>
      <c r="AH31" s="127"/>
      <c r="AI31" s="128"/>
    </row>
    <row r="32" spans="2:35" x14ac:dyDescent="0.25">
      <c r="B32" s="1" t="s">
        <v>758</v>
      </c>
      <c r="I32" s="1" t="s">
        <v>678</v>
      </c>
      <c r="K32" s="1" t="s">
        <v>759</v>
      </c>
      <c r="N32" s="118"/>
      <c r="O32" s="120"/>
      <c r="P32" s="139"/>
      <c r="Q32" s="122"/>
      <c r="R32" s="140"/>
      <c r="S32" s="1" t="s">
        <v>496</v>
      </c>
      <c r="T32" s="2"/>
      <c r="U32" s="1" t="s">
        <v>496</v>
      </c>
      <c r="V32" s="2"/>
      <c r="W32" s="1" t="s">
        <v>496</v>
      </c>
      <c r="X32" s="126"/>
      <c r="Y32" s="124"/>
      <c r="Z32" s="125"/>
      <c r="AA32" s="1" t="s">
        <v>977</v>
      </c>
      <c r="AC32" s="1" t="s">
        <v>3</v>
      </c>
      <c r="AE32" s="4" t="s">
        <v>976</v>
      </c>
      <c r="AH32" s="127"/>
      <c r="AI32" s="128"/>
    </row>
    <row r="33" spans="2:35" x14ac:dyDescent="0.25">
      <c r="B33" s="1" t="s">
        <v>760</v>
      </c>
      <c r="I33" s="1" t="s">
        <v>678</v>
      </c>
      <c r="K33" s="1" t="s">
        <v>761</v>
      </c>
      <c r="M33" s="1" t="s">
        <v>762</v>
      </c>
      <c r="N33" s="118" t="s">
        <v>1002</v>
      </c>
      <c r="O33" s="120" t="s">
        <v>1014</v>
      </c>
      <c r="P33" s="139"/>
      <c r="Q33" s="122" t="s">
        <v>1019</v>
      </c>
      <c r="R33" s="140"/>
      <c r="S33" s="1" t="s">
        <v>496</v>
      </c>
      <c r="T33" s="2"/>
      <c r="U33" s="1" t="s">
        <v>496</v>
      </c>
      <c r="V33" s="2"/>
      <c r="W33" s="1" t="s">
        <v>496</v>
      </c>
      <c r="X33" s="126" t="s">
        <v>1033</v>
      </c>
      <c r="Y33" s="124"/>
      <c r="Z33" s="125"/>
      <c r="AA33" s="1" t="s">
        <v>986</v>
      </c>
      <c r="AC33" s="1" t="s">
        <v>3</v>
      </c>
      <c r="AE33" s="4" t="s">
        <v>976</v>
      </c>
      <c r="AH33" s="127"/>
      <c r="AI33" s="128"/>
    </row>
    <row r="34" spans="2:35" x14ac:dyDescent="0.25">
      <c r="B34" s="1" t="s">
        <v>763</v>
      </c>
      <c r="I34" s="1" t="s">
        <v>764</v>
      </c>
      <c r="K34" s="1" t="s">
        <v>765</v>
      </c>
      <c r="M34" s="1" t="s">
        <v>766</v>
      </c>
      <c r="N34" s="118" t="s">
        <v>1008</v>
      </c>
      <c r="O34" s="120" t="s">
        <v>1014</v>
      </c>
      <c r="P34" s="139"/>
      <c r="Q34" s="122" t="s">
        <v>1028</v>
      </c>
      <c r="R34" s="140"/>
      <c r="S34" s="1" t="s">
        <v>496</v>
      </c>
      <c r="T34" s="2"/>
      <c r="U34" s="1" t="s">
        <v>496</v>
      </c>
      <c r="V34" s="2"/>
      <c r="W34" s="1" t="s">
        <v>973</v>
      </c>
      <c r="X34" s="126" t="s">
        <v>1032</v>
      </c>
      <c r="Y34" s="124"/>
      <c r="Z34" s="125"/>
      <c r="AH34" s="127"/>
      <c r="AI34" s="128"/>
    </row>
    <row r="35" spans="2:35" x14ac:dyDescent="0.25">
      <c r="B35" s="1" t="s">
        <v>767</v>
      </c>
      <c r="I35" s="1" t="s">
        <v>678</v>
      </c>
      <c r="K35" s="1" t="s">
        <v>764</v>
      </c>
      <c r="N35" s="118"/>
      <c r="O35" s="120"/>
      <c r="P35" s="139"/>
      <c r="Q35" s="122"/>
      <c r="R35" s="140"/>
      <c r="S35" s="1" t="s">
        <v>496</v>
      </c>
      <c r="T35" s="2"/>
      <c r="U35" s="1" t="s">
        <v>496</v>
      </c>
      <c r="V35" s="2"/>
      <c r="W35" s="1" t="s">
        <v>496</v>
      </c>
      <c r="X35" s="126"/>
      <c r="Y35" s="124"/>
      <c r="Z35" s="125"/>
      <c r="AA35" s="1" t="s">
        <v>987</v>
      </c>
      <c r="AC35" s="1" t="s">
        <v>3</v>
      </c>
      <c r="AE35" s="4" t="s">
        <v>976</v>
      </c>
      <c r="AH35" s="127"/>
      <c r="AI35" s="128"/>
    </row>
    <row r="36" spans="2:35" x14ac:dyDescent="0.25">
      <c r="B36" s="1" t="s">
        <v>768</v>
      </c>
      <c r="I36" s="1" t="s">
        <v>764</v>
      </c>
      <c r="K36" s="1" t="s">
        <v>769</v>
      </c>
      <c r="M36" s="1" t="s">
        <v>770</v>
      </c>
      <c r="N36" s="118" t="s">
        <v>1002</v>
      </c>
      <c r="O36" s="120" t="s">
        <v>1014</v>
      </c>
      <c r="P36" s="139"/>
      <c r="Q36" s="122"/>
      <c r="R36" s="140"/>
      <c r="S36" s="1" t="s">
        <v>496</v>
      </c>
      <c r="T36" s="2"/>
      <c r="U36" s="1" t="s">
        <v>496</v>
      </c>
      <c r="V36" s="2"/>
      <c r="W36" s="1" t="s">
        <v>973</v>
      </c>
      <c r="X36" s="126" t="s">
        <v>1032</v>
      </c>
      <c r="Y36" s="124"/>
      <c r="Z36" s="125"/>
      <c r="AA36" s="1" t="s">
        <v>1031</v>
      </c>
      <c r="AC36" s="1" t="s">
        <v>3</v>
      </c>
      <c r="AH36" s="127"/>
      <c r="AI36" s="128"/>
    </row>
    <row r="37" spans="2:35" x14ac:dyDescent="0.25">
      <c r="B37" s="1" t="s">
        <v>771</v>
      </c>
      <c r="I37" s="1" t="s">
        <v>764</v>
      </c>
      <c r="K37" s="1" t="s">
        <v>772</v>
      </c>
      <c r="M37" s="1" t="s">
        <v>773</v>
      </c>
      <c r="N37" s="118" t="s">
        <v>1002</v>
      </c>
      <c r="O37" s="120" t="s">
        <v>1014</v>
      </c>
      <c r="P37" s="139"/>
      <c r="Q37" s="122"/>
      <c r="R37" s="140"/>
      <c r="S37" s="1" t="s">
        <v>496</v>
      </c>
      <c r="T37" s="2"/>
      <c r="U37" s="1" t="s">
        <v>496</v>
      </c>
      <c r="V37" s="2"/>
      <c r="W37" s="1" t="s">
        <v>973</v>
      </c>
      <c r="X37" s="126" t="s">
        <v>1032</v>
      </c>
      <c r="Y37" s="124"/>
      <c r="Z37" s="125"/>
      <c r="AA37" s="1" t="s">
        <v>1031</v>
      </c>
      <c r="AC37" s="1" t="s">
        <v>3</v>
      </c>
      <c r="AH37" s="127"/>
      <c r="AI37" s="128"/>
    </row>
    <row r="38" spans="2:35" x14ac:dyDescent="0.25">
      <c r="B38" s="1" t="s">
        <v>774</v>
      </c>
      <c r="I38" s="1" t="s">
        <v>764</v>
      </c>
      <c r="K38" s="1" t="s">
        <v>775</v>
      </c>
      <c r="M38" s="1" t="s">
        <v>776</v>
      </c>
      <c r="N38" s="118" t="s">
        <v>1002</v>
      </c>
      <c r="O38" s="120" t="s">
        <v>1014</v>
      </c>
      <c r="P38" s="139"/>
      <c r="Q38" s="122"/>
      <c r="R38" s="140"/>
      <c r="S38" s="1" t="s">
        <v>496</v>
      </c>
      <c r="T38" s="2"/>
      <c r="U38" s="1" t="s">
        <v>496</v>
      </c>
      <c r="V38" s="2"/>
      <c r="W38" s="1" t="s">
        <v>973</v>
      </c>
      <c r="X38" s="126" t="s">
        <v>1032</v>
      </c>
      <c r="Y38" s="124"/>
      <c r="Z38" s="125"/>
      <c r="AA38" s="1" t="s">
        <v>1031</v>
      </c>
      <c r="AC38" s="1" t="s">
        <v>3</v>
      </c>
      <c r="AH38" s="127"/>
      <c r="AI38" s="128"/>
    </row>
    <row r="39" spans="2:35" x14ac:dyDescent="0.25">
      <c r="B39" s="1" t="s">
        <v>777</v>
      </c>
      <c r="I39" s="1" t="s">
        <v>764</v>
      </c>
      <c r="K39" s="1" t="s">
        <v>778</v>
      </c>
      <c r="M39" s="1" t="s">
        <v>779</v>
      </c>
      <c r="N39" s="118" t="s">
        <v>1002</v>
      </c>
      <c r="O39" s="120" t="s">
        <v>1014</v>
      </c>
      <c r="P39" s="139"/>
      <c r="Q39" s="122"/>
      <c r="R39" s="140"/>
      <c r="S39" s="1" t="s">
        <v>496</v>
      </c>
      <c r="T39" s="2"/>
      <c r="U39" s="1" t="s">
        <v>496</v>
      </c>
      <c r="V39" s="2"/>
      <c r="W39" s="1" t="s">
        <v>973</v>
      </c>
      <c r="X39" s="126" t="s">
        <v>1032</v>
      </c>
      <c r="Y39" s="124"/>
      <c r="Z39" s="125"/>
      <c r="AA39" s="1" t="s">
        <v>1031</v>
      </c>
      <c r="AC39" s="1" t="s">
        <v>3</v>
      </c>
      <c r="AE39" s="4">
        <v>37073</v>
      </c>
      <c r="AH39" s="127"/>
      <c r="AI39" s="128"/>
    </row>
    <row r="40" spans="2:35" x14ac:dyDescent="0.25">
      <c r="B40" s="1" t="s">
        <v>780</v>
      </c>
      <c r="I40" s="1" t="s">
        <v>764</v>
      </c>
      <c r="K40" s="1" t="s">
        <v>781</v>
      </c>
      <c r="M40" s="1" t="s">
        <v>782</v>
      </c>
      <c r="N40" s="118" t="s">
        <v>1002</v>
      </c>
      <c r="O40" s="120" t="s">
        <v>1014</v>
      </c>
      <c r="P40" s="139"/>
      <c r="Q40" s="122"/>
      <c r="R40" s="140"/>
      <c r="S40" s="1" t="s">
        <v>496</v>
      </c>
      <c r="T40" s="2"/>
      <c r="U40" s="1" t="s">
        <v>496</v>
      </c>
      <c r="V40" s="2"/>
      <c r="W40" s="1" t="s">
        <v>974</v>
      </c>
      <c r="X40" s="126" t="s">
        <v>1032</v>
      </c>
      <c r="Y40" s="124"/>
      <c r="Z40" s="125"/>
      <c r="AA40" s="1" t="s">
        <v>1031</v>
      </c>
      <c r="AC40" s="1" t="s">
        <v>3</v>
      </c>
      <c r="AE40" s="4">
        <v>37073</v>
      </c>
      <c r="AH40" s="127"/>
      <c r="AI40" s="128"/>
    </row>
    <row r="41" spans="2:35" x14ac:dyDescent="0.25">
      <c r="B41" s="1" t="s">
        <v>783</v>
      </c>
      <c r="I41" s="1" t="s">
        <v>764</v>
      </c>
      <c r="K41" s="1" t="s">
        <v>784</v>
      </c>
      <c r="M41" s="1" t="s">
        <v>785</v>
      </c>
      <c r="N41" s="118" t="s">
        <v>1002</v>
      </c>
      <c r="O41" s="120" t="s">
        <v>1014</v>
      </c>
      <c r="P41" s="139"/>
      <c r="Q41" s="122"/>
      <c r="R41" s="140"/>
      <c r="S41" s="1" t="s">
        <v>496</v>
      </c>
      <c r="T41" s="2"/>
      <c r="U41" s="1" t="s">
        <v>496</v>
      </c>
      <c r="V41" s="2"/>
      <c r="W41" s="1" t="s">
        <v>973</v>
      </c>
      <c r="X41" s="126" t="s">
        <v>1032</v>
      </c>
      <c r="Y41" s="124"/>
      <c r="Z41" s="125"/>
      <c r="AA41" s="1" t="s">
        <v>1031</v>
      </c>
      <c r="AC41" s="1" t="s">
        <v>3</v>
      </c>
      <c r="AE41" s="4">
        <v>37073</v>
      </c>
      <c r="AH41" s="127"/>
      <c r="AI41" s="128"/>
    </row>
    <row r="42" spans="2:35" x14ac:dyDescent="0.25">
      <c r="B42" s="1" t="s">
        <v>786</v>
      </c>
      <c r="I42" s="1" t="s">
        <v>764</v>
      </c>
      <c r="K42" s="1" t="s">
        <v>787</v>
      </c>
      <c r="M42" s="1" t="s">
        <v>788</v>
      </c>
      <c r="N42" s="118" t="s">
        <v>1002</v>
      </c>
      <c r="O42" s="120" t="s">
        <v>1014</v>
      </c>
      <c r="P42" s="139"/>
      <c r="Q42" s="122"/>
      <c r="R42" s="140"/>
      <c r="S42" s="1" t="s">
        <v>496</v>
      </c>
      <c r="T42" s="2"/>
      <c r="U42" s="1" t="s">
        <v>496</v>
      </c>
      <c r="V42" s="2"/>
      <c r="W42" s="1" t="s">
        <v>973</v>
      </c>
      <c r="X42" s="126" t="s">
        <v>1032</v>
      </c>
      <c r="Y42" s="124"/>
      <c r="Z42" s="125"/>
      <c r="AA42" s="1" t="s">
        <v>1031</v>
      </c>
      <c r="AC42" s="1" t="s">
        <v>3</v>
      </c>
      <c r="AE42" s="4">
        <v>37073</v>
      </c>
      <c r="AH42" s="127"/>
      <c r="AI42" s="128"/>
    </row>
    <row r="43" spans="2:35" x14ac:dyDescent="0.25">
      <c r="B43" s="1" t="s">
        <v>789</v>
      </c>
      <c r="I43" s="1" t="s">
        <v>764</v>
      </c>
      <c r="K43" s="1" t="s">
        <v>790</v>
      </c>
      <c r="M43" s="1" t="s">
        <v>791</v>
      </c>
      <c r="N43" s="118" t="s">
        <v>1002</v>
      </c>
      <c r="O43" s="120" t="s">
        <v>1014</v>
      </c>
      <c r="P43" s="139"/>
      <c r="Q43" s="122"/>
      <c r="R43" s="140"/>
      <c r="S43" s="1" t="s">
        <v>496</v>
      </c>
      <c r="T43" s="2"/>
      <c r="U43" s="1" t="s">
        <v>496</v>
      </c>
      <c r="V43" s="2"/>
      <c r="W43" s="1" t="s">
        <v>973</v>
      </c>
      <c r="X43" s="126" t="s">
        <v>1032</v>
      </c>
      <c r="Y43" s="124"/>
      <c r="Z43" s="125"/>
      <c r="AA43" s="1" t="s">
        <v>1031</v>
      </c>
      <c r="AC43" s="1" t="s">
        <v>3</v>
      </c>
      <c r="AE43" s="4">
        <v>37073</v>
      </c>
      <c r="AH43" s="127"/>
      <c r="AI43" s="128"/>
    </row>
    <row r="44" spans="2:35" x14ac:dyDescent="0.25">
      <c r="B44" s="1" t="s">
        <v>792</v>
      </c>
      <c r="I44" s="1" t="s">
        <v>764</v>
      </c>
      <c r="K44" s="1" t="s">
        <v>793</v>
      </c>
      <c r="M44" s="1" t="s">
        <v>794</v>
      </c>
      <c r="N44" s="118" t="s">
        <v>1002</v>
      </c>
      <c r="O44" s="120" t="s">
        <v>1014</v>
      </c>
      <c r="P44" s="139"/>
      <c r="Q44" s="122"/>
      <c r="R44" s="140"/>
      <c r="S44" s="1" t="s">
        <v>496</v>
      </c>
      <c r="T44" s="2"/>
      <c r="U44" s="1" t="s">
        <v>496</v>
      </c>
      <c r="V44" s="2"/>
      <c r="W44" s="1" t="s">
        <v>973</v>
      </c>
      <c r="X44" s="126" t="s">
        <v>1032</v>
      </c>
      <c r="Y44" s="124"/>
      <c r="Z44" s="125"/>
      <c r="AA44" s="1" t="s">
        <v>1031</v>
      </c>
      <c r="AC44" s="1" t="s">
        <v>3</v>
      </c>
      <c r="AE44" s="4">
        <v>37073</v>
      </c>
      <c r="AH44" s="127"/>
      <c r="AI44" s="128"/>
    </row>
    <row r="45" spans="2:35" x14ac:dyDescent="0.25">
      <c r="B45" s="1" t="s">
        <v>795</v>
      </c>
      <c r="I45" s="1" t="s">
        <v>764</v>
      </c>
      <c r="K45" s="1" t="s">
        <v>796</v>
      </c>
      <c r="M45" s="1" t="s">
        <v>797</v>
      </c>
      <c r="N45" s="118" t="s">
        <v>1002</v>
      </c>
      <c r="O45" s="120" t="s">
        <v>1014</v>
      </c>
      <c r="P45" s="139"/>
      <c r="Q45" s="122"/>
      <c r="R45" s="140"/>
      <c r="S45" s="1" t="s">
        <v>496</v>
      </c>
      <c r="T45" s="2"/>
      <c r="U45" s="1" t="s">
        <v>496</v>
      </c>
      <c r="V45" s="2"/>
      <c r="W45" s="1" t="s">
        <v>973</v>
      </c>
      <c r="X45" s="126" t="s">
        <v>1032</v>
      </c>
      <c r="Y45" s="124"/>
      <c r="Z45" s="125"/>
      <c r="AA45" s="1" t="s">
        <v>1031</v>
      </c>
      <c r="AC45" s="1" t="s">
        <v>3</v>
      </c>
      <c r="AE45" s="4">
        <v>37073</v>
      </c>
      <c r="AH45" s="127"/>
      <c r="AI45" s="128"/>
    </row>
    <row r="46" spans="2:35" x14ac:dyDescent="0.25">
      <c r="B46" s="1" t="s">
        <v>798</v>
      </c>
      <c r="I46" s="1" t="s">
        <v>764</v>
      </c>
      <c r="K46" s="1" t="s">
        <v>799</v>
      </c>
      <c r="M46" s="1" t="s">
        <v>800</v>
      </c>
      <c r="N46" s="118" t="s">
        <v>1002</v>
      </c>
      <c r="O46" s="120" t="s">
        <v>1014</v>
      </c>
      <c r="P46" s="139"/>
      <c r="Q46" s="122"/>
      <c r="R46" s="140"/>
      <c r="S46" s="1" t="s">
        <v>496</v>
      </c>
      <c r="T46" s="2"/>
      <c r="U46" s="1" t="s">
        <v>496</v>
      </c>
      <c r="V46" s="2"/>
      <c r="W46" s="1" t="s">
        <v>973</v>
      </c>
      <c r="X46" s="126" t="s">
        <v>1032</v>
      </c>
      <c r="Y46" s="124"/>
      <c r="Z46" s="125"/>
      <c r="AA46" s="1" t="s">
        <v>1031</v>
      </c>
      <c r="AC46" s="1" t="s">
        <v>3</v>
      </c>
      <c r="AE46" s="4">
        <v>37073</v>
      </c>
      <c r="AH46" s="127"/>
      <c r="AI46" s="128"/>
    </row>
    <row r="47" spans="2:35" x14ac:dyDescent="0.25">
      <c r="B47" s="1" t="s">
        <v>801</v>
      </c>
      <c r="I47" s="1" t="s">
        <v>764</v>
      </c>
      <c r="K47" s="1" t="s">
        <v>802</v>
      </c>
      <c r="M47" s="1" t="s">
        <v>803</v>
      </c>
      <c r="N47" s="118" t="s">
        <v>1002</v>
      </c>
      <c r="O47" s="120" t="s">
        <v>1014</v>
      </c>
      <c r="P47" s="139"/>
      <c r="Q47" s="122"/>
      <c r="R47" s="140"/>
      <c r="S47" s="1" t="s">
        <v>496</v>
      </c>
      <c r="T47" s="2"/>
      <c r="U47" s="1" t="s">
        <v>496</v>
      </c>
      <c r="V47" s="2"/>
      <c r="W47" s="1" t="s">
        <v>973</v>
      </c>
      <c r="X47" s="126" t="s">
        <v>1032</v>
      </c>
      <c r="Y47" s="124"/>
      <c r="Z47" s="125"/>
      <c r="AA47" s="1" t="s">
        <v>1031</v>
      </c>
      <c r="AC47" s="1" t="s">
        <v>3</v>
      </c>
      <c r="AE47" s="4">
        <v>37073</v>
      </c>
      <c r="AH47" s="127"/>
      <c r="AI47" s="128"/>
    </row>
    <row r="48" spans="2:35" x14ac:dyDescent="0.25">
      <c r="B48" s="1" t="s">
        <v>804</v>
      </c>
      <c r="I48" s="1" t="s">
        <v>764</v>
      </c>
      <c r="K48" s="1" t="s">
        <v>805</v>
      </c>
      <c r="M48" s="1" t="s">
        <v>806</v>
      </c>
      <c r="N48" s="118" t="s">
        <v>1002</v>
      </c>
      <c r="O48" s="120" t="s">
        <v>1014</v>
      </c>
      <c r="P48" s="139"/>
      <c r="Q48" s="122"/>
      <c r="R48" s="140"/>
      <c r="S48" s="1" t="s">
        <v>496</v>
      </c>
      <c r="T48" s="2"/>
      <c r="U48" s="1" t="s">
        <v>496</v>
      </c>
      <c r="V48" s="2"/>
      <c r="W48" s="1" t="s">
        <v>973</v>
      </c>
      <c r="X48" s="126" t="s">
        <v>1032</v>
      </c>
      <c r="Y48" s="124"/>
      <c r="Z48" s="125"/>
      <c r="AA48" s="1" t="s">
        <v>1031</v>
      </c>
      <c r="AC48" s="1" t="s">
        <v>3</v>
      </c>
      <c r="AE48" s="4">
        <v>37073</v>
      </c>
      <c r="AH48" s="127"/>
      <c r="AI48" s="128"/>
    </row>
    <row r="49" spans="2:35" x14ac:dyDescent="0.25">
      <c r="B49" s="1" t="s">
        <v>807</v>
      </c>
      <c r="I49" s="1" t="s">
        <v>764</v>
      </c>
      <c r="K49" s="1" t="s">
        <v>808</v>
      </c>
      <c r="M49" s="1" t="s">
        <v>809</v>
      </c>
      <c r="N49" s="118" t="s">
        <v>1002</v>
      </c>
      <c r="O49" s="120" t="s">
        <v>1014</v>
      </c>
      <c r="P49" s="139"/>
      <c r="Q49" s="122"/>
      <c r="R49" s="140"/>
      <c r="S49" s="1" t="s">
        <v>496</v>
      </c>
      <c r="T49" s="2"/>
      <c r="U49" s="1" t="s">
        <v>496</v>
      </c>
      <c r="V49" s="2"/>
      <c r="W49" s="1" t="s">
        <v>973</v>
      </c>
      <c r="X49" s="126" t="s">
        <v>1032</v>
      </c>
      <c r="Y49" s="124"/>
      <c r="Z49" s="125"/>
      <c r="AA49" s="1" t="s">
        <v>1031</v>
      </c>
      <c r="AC49" s="1" t="s">
        <v>3</v>
      </c>
      <c r="AE49" s="4">
        <v>37073</v>
      </c>
      <c r="AH49" s="127"/>
      <c r="AI49" s="128"/>
    </row>
    <row r="50" spans="2:35" x14ac:dyDescent="0.25">
      <c r="B50" s="1" t="s">
        <v>810</v>
      </c>
      <c r="I50" s="1" t="s">
        <v>764</v>
      </c>
      <c r="K50" s="1" t="s">
        <v>811</v>
      </c>
      <c r="M50" s="1" t="s">
        <v>812</v>
      </c>
      <c r="N50" s="118" t="s">
        <v>1002</v>
      </c>
      <c r="O50" s="120" t="s">
        <v>1014</v>
      </c>
      <c r="P50" s="139"/>
      <c r="Q50" s="122"/>
      <c r="R50" s="140"/>
      <c r="S50" s="1" t="s">
        <v>496</v>
      </c>
      <c r="T50" s="2"/>
      <c r="U50" s="1" t="s">
        <v>496</v>
      </c>
      <c r="V50" s="2"/>
      <c r="W50" s="1" t="s">
        <v>496</v>
      </c>
      <c r="X50" s="126" t="s">
        <v>1032</v>
      </c>
      <c r="Y50" s="124"/>
      <c r="Z50" s="125"/>
      <c r="AA50" s="1" t="s">
        <v>1031</v>
      </c>
      <c r="AC50" s="1" t="s">
        <v>3</v>
      </c>
      <c r="AE50" s="4">
        <v>37073</v>
      </c>
      <c r="AH50" s="127"/>
      <c r="AI50" s="128"/>
    </row>
    <row r="51" spans="2:35" x14ac:dyDescent="0.25">
      <c r="B51" s="1" t="s">
        <v>813</v>
      </c>
      <c r="I51" s="1" t="s">
        <v>764</v>
      </c>
      <c r="K51" s="1" t="s">
        <v>814</v>
      </c>
      <c r="M51" s="1" t="s">
        <v>815</v>
      </c>
      <c r="N51" s="118" t="s">
        <v>1002</v>
      </c>
      <c r="O51" s="120" t="s">
        <v>1014</v>
      </c>
      <c r="P51" s="139"/>
      <c r="Q51" s="122"/>
      <c r="R51" s="140"/>
      <c r="S51" s="1" t="s">
        <v>496</v>
      </c>
      <c r="T51" s="2"/>
      <c r="U51" s="1" t="s">
        <v>496</v>
      </c>
      <c r="V51" s="2"/>
      <c r="W51" s="1" t="s">
        <v>973</v>
      </c>
      <c r="X51" s="126" t="s">
        <v>1032</v>
      </c>
      <c r="Y51" s="124"/>
      <c r="Z51" s="125"/>
      <c r="AA51" s="1" t="s">
        <v>1031</v>
      </c>
      <c r="AC51" s="1" t="s">
        <v>3</v>
      </c>
      <c r="AE51" s="4">
        <v>37073</v>
      </c>
      <c r="AH51" s="127"/>
      <c r="AI51" s="128"/>
    </row>
    <row r="52" spans="2:35" x14ac:dyDescent="0.25">
      <c r="B52" s="1" t="s">
        <v>816</v>
      </c>
      <c r="I52" s="1" t="s">
        <v>764</v>
      </c>
      <c r="K52" s="1" t="s">
        <v>817</v>
      </c>
      <c r="M52" s="1" t="s">
        <v>818</v>
      </c>
      <c r="N52" s="118" t="s">
        <v>1002</v>
      </c>
      <c r="O52" s="120" t="s">
        <v>1014</v>
      </c>
      <c r="P52" s="139"/>
      <c r="Q52" s="122"/>
      <c r="R52" s="140"/>
      <c r="S52" s="1" t="s">
        <v>496</v>
      </c>
      <c r="T52" s="2"/>
      <c r="U52" s="1" t="s">
        <v>496</v>
      </c>
      <c r="V52" s="2"/>
      <c r="W52" s="1" t="s">
        <v>973</v>
      </c>
      <c r="X52" s="126" t="s">
        <v>1032</v>
      </c>
      <c r="Y52" s="124"/>
      <c r="Z52" s="125"/>
      <c r="AA52" s="1" t="s">
        <v>1031</v>
      </c>
      <c r="AC52" s="1" t="s">
        <v>3</v>
      </c>
      <c r="AE52" s="4">
        <v>37073</v>
      </c>
      <c r="AH52" s="127"/>
      <c r="AI52" s="128"/>
    </row>
    <row r="53" spans="2:35" x14ac:dyDescent="0.25">
      <c r="B53" s="1" t="s">
        <v>819</v>
      </c>
      <c r="I53" s="1" t="s">
        <v>764</v>
      </c>
      <c r="K53" s="1" t="s">
        <v>820</v>
      </c>
      <c r="M53" s="1" t="s">
        <v>821</v>
      </c>
      <c r="N53" s="118" t="s">
        <v>1002</v>
      </c>
      <c r="O53" s="120" t="s">
        <v>1014</v>
      </c>
      <c r="P53" s="139"/>
      <c r="Q53" s="122" t="s">
        <v>1027</v>
      </c>
      <c r="R53" s="140"/>
      <c r="S53" s="1" t="s">
        <v>496</v>
      </c>
      <c r="T53" s="2"/>
      <c r="U53" s="1" t="s">
        <v>496</v>
      </c>
      <c r="V53" s="2"/>
      <c r="W53" s="1" t="s">
        <v>973</v>
      </c>
      <c r="X53" s="126" t="s">
        <v>1032</v>
      </c>
      <c r="Y53" s="124"/>
      <c r="Z53" s="125"/>
      <c r="AA53" s="1" t="s">
        <v>1031</v>
      </c>
      <c r="AC53" s="1" t="s">
        <v>3</v>
      </c>
      <c r="AE53" s="4">
        <v>37073</v>
      </c>
      <c r="AH53" s="127"/>
      <c r="AI53" s="128"/>
    </row>
    <row r="54" spans="2:35" x14ac:dyDescent="0.25">
      <c r="B54" s="1" t="s">
        <v>822</v>
      </c>
      <c r="I54" s="1" t="s">
        <v>764</v>
      </c>
      <c r="K54" s="1" t="s">
        <v>823</v>
      </c>
      <c r="M54" s="1" t="s">
        <v>824</v>
      </c>
      <c r="N54" s="118" t="s">
        <v>1002</v>
      </c>
      <c r="O54" s="120" t="s">
        <v>1014</v>
      </c>
      <c r="P54" s="139"/>
      <c r="Q54" s="122"/>
      <c r="R54" s="140"/>
      <c r="S54" s="1" t="s">
        <v>496</v>
      </c>
      <c r="T54" s="2"/>
      <c r="U54" s="1" t="s">
        <v>496</v>
      </c>
      <c r="V54" s="2"/>
      <c r="W54" s="1" t="s">
        <v>973</v>
      </c>
      <c r="X54" s="126" t="s">
        <v>1032</v>
      </c>
      <c r="Y54" s="124"/>
      <c r="Z54" s="125"/>
      <c r="AA54" s="1" t="s">
        <v>1031</v>
      </c>
      <c r="AC54" s="1" t="s">
        <v>3</v>
      </c>
      <c r="AE54" s="4">
        <v>37073</v>
      </c>
      <c r="AH54" s="127"/>
      <c r="AI54" s="128"/>
    </row>
    <row r="55" spans="2:35" x14ac:dyDescent="0.25">
      <c r="B55" s="1" t="s">
        <v>825</v>
      </c>
      <c r="I55" s="1" t="s">
        <v>764</v>
      </c>
      <c r="K55" s="1" t="s">
        <v>826</v>
      </c>
      <c r="M55" s="1" t="s">
        <v>827</v>
      </c>
      <c r="N55" s="118" t="s">
        <v>1002</v>
      </c>
      <c r="O55" s="120" t="s">
        <v>1014</v>
      </c>
      <c r="P55" s="139"/>
      <c r="Q55" s="122"/>
      <c r="R55" s="140"/>
      <c r="S55" s="1" t="s">
        <v>496</v>
      </c>
      <c r="T55" s="2"/>
      <c r="U55" s="1" t="s">
        <v>496</v>
      </c>
      <c r="V55" s="2"/>
      <c r="W55" s="1" t="s">
        <v>973</v>
      </c>
      <c r="X55" s="126" t="s">
        <v>1032</v>
      </c>
      <c r="Y55" s="124"/>
      <c r="Z55" s="125"/>
      <c r="AA55" s="1" t="s">
        <v>1031</v>
      </c>
      <c r="AC55" s="1" t="s">
        <v>3</v>
      </c>
      <c r="AE55" s="4">
        <v>37073</v>
      </c>
      <c r="AH55" s="127"/>
      <c r="AI55" s="128"/>
    </row>
    <row r="56" spans="2:35" x14ac:dyDescent="0.25">
      <c r="B56" s="1" t="s">
        <v>828</v>
      </c>
      <c r="I56" s="1" t="s">
        <v>764</v>
      </c>
      <c r="K56" s="1" t="s">
        <v>829</v>
      </c>
      <c r="M56" s="1" t="s">
        <v>830</v>
      </c>
      <c r="N56" s="118" t="s">
        <v>1002</v>
      </c>
      <c r="O56" s="120" t="s">
        <v>1014</v>
      </c>
      <c r="P56" s="139"/>
      <c r="Q56" s="122"/>
      <c r="R56" s="140"/>
      <c r="S56" s="1" t="s">
        <v>496</v>
      </c>
      <c r="T56" s="2"/>
      <c r="U56" s="1" t="s">
        <v>496</v>
      </c>
      <c r="V56" s="2"/>
      <c r="W56" s="1" t="s">
        <v>973</v>
      </c>
      <c r="X56" s="126" t="s">
        <v>1032</v>
      </c>
      <c r="Y56" s="124"/>
      <c r="Z56" s="125"/>
      <c r="AA56" s="1" t="s">
        <v>1031</v>
      </c>
      <c r="AC56" s="1" t="s">
        <v>3</v>
      </c>
      <c r="AE56" s="4">
        <v>37073</v>
      </c>
      <c r="AH56" s="127"/>
      <c r="AI56" s="128"/>
    </row>
    <row r="57" spans="2:35" x14ac:dyDescent="0.25">
      <c r="B57" s="1" t="s">
        <v>831</v>
      </c>
      <c r="I57" s="1" t="s">
        <v>764</v>
      </c>
      <c r="K57" s="1" t="s">
        <v>832</v>
      </c>
      <c r="M57" s="1" t="s">
        <v>833</v>
      </c>
      <c r="N57" s="118" t="s">
        <v>1002</v>
      </c>
      <c r="O57" s="120" t="s">
        <v>1014</v>
      </c>
      <c r="P57" s="139"/>
      <c r="Q57" s="122"/>
      <c r="R57" s="140"/>
      <c r="S57" s="1" t="s">
        <v>496</v>
      </c>
      <c r="T57" s="2"/>
      <c r="U57" s="1" t="s">
        <v>496</v>
      </c>
      <c r="V57" s="2"/>
      <c r="W57" s="1" t="s">
        <v>973</v>
      </c>
      <c r="X57" s="126" t="s">
        <v>1032</v>
      </c>
      <c r="Y57" s="124"/>
      <c r="Z57" s="125"/>
      <c r="AA57" s="1" t="s">
        <v>1031</v>
      </c>
      <c r="AC57" s="1" t="s">
        <v>3</v>
      </c>
      <c r="AE57" s="4">
        <v>37073</v>
      </c>
      <c r="AH57" s="127"/>
      <c r="AI57" s="128"/>
    </row>
    <row r="58" spans="2:35" x14ac:dyDescent="0.25">
      <c r="B58" s="1" t="s">
        <v>834</v>
      </c>
      <c r="I58" s="1" t="s">
        <v>764</v>
      </c>
      <c r="K58" s="1" t="s">
        <v>835</v>
      </c>
      <c r="M58" s="1" t="s">
        <v>836</v>
      </c>
      <c r="N58" s="118" t="s">
        <v>1002</v>
      </c>
      <c r="O58" s="120" t="s">
        <v>1014</v>
      </c>
      <c r="P58" s="139"/>
      <c r="Q58" s="122"/>
      <c r="R58" s="140"/>
      <c r="S58" s="1" t="s">
        <v>496</v>
      </c>
      <c r="T58" s="2"/>
      <c r="U58" s="1" t="s">
        <v>496</v>
      </c>
      <c r="V58" s="2"/>
      <c r="W58" s="1" t="s">
        <v>973</v>
      </c>
      <c r="X58" s="126" t="s">
        <v>1032</v>
      </c>
      <c r="Y58" s="124"/>
      <c r="Z58" s="125"/>
      <c r="AA58" s="1" t="s">
        <v>1031</v>
      </c>
      <c r="AC58" s="1" t="s">
        <v>3</v>
      </c>
      <c r="AE58" s="4">
        <v>37073</v>
      </c>
      <c r="AH58" s="127"/>
      <c r="AI58" s="128"/>
    </row>
    <row r="59" spans="2:35" x14ac:dyDescent="0.25">
      <c r="B59" s="1" t="s">
        <v>837</v>
      </c>
      <c r="I59" s="1" t="s">
        <v>764</v>
      </c>
      <c r="K59" s="1" t="s">
        <v>838</v>
      </c>
      <c r="M59" s="1" t="s">
        <v>839</v>
      </c>
      <c r="N59" s="118" t="s">
        <v>1002</v>
      </c>
      <c r="O59" s="120" t="s">
        <v>1014</v>
      </c>
      <c r="P59" s="139"/>
      <c r="Q59" s="122"/>
      <c r="R59" s="140"/>
      <c r="S59" s="1" t="s">
        <v>496</v>
      </c>
      <c r="T59" s="2"/>
      <c r="U59" s="1" t="s">
        <v>496</v>
      </c>
      <c r="V59" s="2"/>
      <c r="W59" s="1" t="s">
        <v>973</v>
      </c>
      <c r="X59" s="126" t="s">
        <v>1033</v>
      </c>
      <c r="Y59" s="124"/>
      <c r="Z59" s="125"/>
      <c r="AA59" s="1" t="s">
        <v>1031</v>
      </c>
      <c r="AC59" s="1" t="s">
        <v>3</v>
      </c>
      <c r="AE59" s="4">
        <v>37073</v>
      </c>
      <c r="AH59" s="127"/>
      <c r="AI59" s="128"/>
    </row>
    <row r="60" spans="2:35" x14ac:dyDescent="0.25">
      <c r="B60" s="1" t="s">
        <v>840</v>
      </c>
      <c r="I60" s="1" t="s">
        <v>764</v>
      </c>
      <c r="K60" s="1" t="s">
        <v>841</v>
      </c>
      <c r="M60" s="1" t="s">
        <v>842</v>
      </c>
      <c r="N60" s="118" t="s">
        <v>1002</v>
      </c>
      <c r="O60" s="120" t="s">
        <v>1014</v>
      </c>
      <c r="P60" s="139"/>
      <c r="Q60" s="122"/>
      <c r="R60" s="140"/>
      <c r="S60" s="1" t="s">
        <v>496</v>
      </c>
      <c r="T60" s="2"/>
      <c r="U60" s="1" t="s">
        <v>496</v>
      </c>
      <c r="V60" s="2"/>
      <c r="W60" s="1" t="s">
        <v>973</v>
      </c>
      <c r="X60" s="126" t="s">
        <v>1032</v>
      </c>
      <c r="Y60" s="124"/>
      <c r="Z60" s="125"/>
      <c r="AA60" s="1" t="s">
        <v>1031</v>
      </c>
      <c r="AC60" s="1" t="s">
        <v>3</v>
      </c>
      <c r="AE60" s="4">
        <v>37073</v>
      </c>
      <c r="AH60" s="127"/>
      <c r="AI60" s="128"/>
    </row>
    <row r="61" spans="2:35" x14ac:dyDescent="0.25">
      <c r="B61" s="1" t="s">
        <v>843</v>
      </c>
      <c r="I61" s="1" t="s">
        <v>764</v>
      </c>
      <c r="K61" s="1" t="s">
        <v>844</v>
      </c>
      <c r="M61" s="1" t="s">
        <v>845</v>
      </c>
      <c r="N61" s="118" t="s">
        <v>1002</v>
      </c>
      <c r="O61" s="120" t="s">
        <v>1014</v>
      </c>
      <c r="P61" s="139"/>
      <c r="Q61" s="122"/>
      <c r="R61" s="140"/>
      <c r="S61" s="1" t="s">
        <v>496</v>
      </c>
      <c r="T61" s="2"/>
      <c r="U61" s="1" t="s">
        <v>496</v>
      </c>
      <c r="V61" s="2"/>
      <c r="W61" s="1" t="s">
        <v>973</v>
      </c>
      <c r="X61" s="126" t="s">
        <v>1032</v>
      </c>
      <c r="Y61" s="124"/>
      <c r="Z61" s="125"/>
      <c r="AA61" s="1" t="s">
        <v>1031</v>
      </c>
      <c r="AC61" s="1" t="s">
        <v>3</v>
      </c>
      <c r="AE61" s="4">
        <v>37073</v>
      </c>
      <c r="AH61" s="127"/>
      <c r="AI61" s="128"/>
    </row>
    <row r="62" spans="2:35" x14ac:dyDescent="0.25">
      <c r="B62" s="1" t="s">
        <v>846</v>
      </c>
      <c r="I62" s="1" t="s">
        <v>764</v>
      </c>
      <c r="K62" s="1" t="s">
        <v>847</v>
      </c>
      <c r="M62" s="1" t="s">
        <v>848</v>
      </c>
      <c r="N62" s="118" t="s">
        <v>1002</v>
      </c>
      <c r="O62" s="120" t="s">
        <v>1014</v>
      </c>
      <c r="P62" s="139"/>
      <c r="Q62" s="122"/>
      <c r="R62" s="140"/>
      <c r="S62" s="1" t="s">
        <v>496</v>
      </c>
      <c r="T62" s="2"/>
      <c r="U62" s="1" t="s">
        <v>496</v>
      </c>
      <c r="V62" s="2"/>
      <c r="W62" s="1" t="s">
        <v>973</v>
      </c>
      <c r="X62" s="126" t="s">
        <v>1032</v>
      </c>
      <c r="Y62" s="124"/>
      <c r="Z62" s="125"/>
      <c r="AA62" s="1" t="s">
        <v>1031</v>
      </c>
      <c r="AC62" s="1" t="s">
        <v>3</v>
      </c>
      <c r="AE62" s="4">
        <v>37073</v>
      </c>
      <c r="AH62" s="127"/>
      <c r="AI62" s="128"/>
    </row>
    <row r="63" spans="2:35" x14ac:dyDescent="0.25">
      <c r="B63" s="1" t="s">
        <v>849</v>
      </c>
      <c r="I63" s="1" t="s">
        <v>764</v>
      </c>
      <c r="K63" s="1" t="s">
        <v>850</v>
      </c>
      <c r="M63" s="1" t="s">
        <v>851</v>
      </c>
      <c r="N63" s="118" t="s">
        <v>1002</v>
      </c>
      <c r="O63" s="120" t="s">
        <v>1014</v>
      </c>
      <c r="P63" s="139"/>
      <c r="Q63" s="122"/>
      <c r="R63" s="140"/>
      <c r="S63" s="1" t="s">
        <v>496</v>
      </c>
      <c r="T63" s="2"/>
      <c r="U63" s="1" t="s">
        <v>496</v>
      </c>
      <c r="V63" s="2"/>
      <c r="W63" s="1" t="s">
        <v>973</v>
      </c>
      <c r="X63" s="126" t="s">
        <v>1032</v>
      </c>
      <c r="Y63" s="124"/>
      <c r="Z63" s="125"/>
      <c r="AA63" s="1" t="s">
        <v>1031</v>
      </c>
      <c r="AC63" s="1" t="s">
        <v>3</v>
      </c>
      <c r="AE63" s="4">
        <v>37073</v>
      </c>
      <c r="AH63" s="127"/>
      <c r="AI63" s="128"/>
    </row>
    <row r="64" spans="2:35" x14ac:dyDescent="0.25">
      <c r="B64" s="1" t="s">
        <v>852</v>
      </c>
      <c r="I64" s="1" t="s">
        <v>764</v>
      </c>
      <c r="K64" s="1" t="s">
        <v>853</v>
      </c>
      <c r="M64" s="1" t="s">
        <v>854</v>
      </c>
      <c r="N64" s="118" t="s">
        <v>1002</v>
      </c>
      <c r="O64" s="120" t="s">
        <v>1014</v>
      </c>
      <c r="P64" s="139"/>
      <c r="Q64" s="122"/>
      <c r="R64" s="140"/>
      <c r="S64" s="1" t="s">
        <v>496</v>
      </c>
      <c r="T64" s="2"/>
      <c r="U64" s="1" t="s">
        <v>496</v>
      </c>
      <c r="V64" s="2"/>
      <c r="W64" s="1" t="s">
        <v>973</v>
      </c>
      <c r="X64" s="126" t="s">
        <v>1032</v>
      </c>
      <c r="Y64" s="124"/>
      <c r="Z64" s="125"/>
      <c r="AA64" s="1" t="s">
        <v>1031</v>
      </c>
      <c r="AC64" s="1" t="s">
        <v>3</v>
      </c>
      <c r="AE64" s="4">
        <v>37073</v>
      </c>
      <c r="AH64" s="127"/>
      <c r="AI64" s="128"/>
    </row>
    <row r="65" spans="2:35" x14ac:dyDescent="0.25">
      <c r="B65" s="1" t="s">
        <v>855</v>
      </c>
      <c r="I65" s="1" t="s">
        <v>764</v>
      </c>
      <c r="K65" s="1" t="s">
        <v>856</v>
      </c>
      <c r="M65" s="1" t="s">
        <v>857</v>
      </c>
      <c r="N65" s="118" t="s">
        <v>1002</v>
      </c>
      <c r="O65" s="120" t="s">
        <v>1014</v>
      </c>
      <c r="P65" s="139"/>
      <c r="Q65" s="122"/>
      <c r="R65" s="140"/>
      <c r="S65" s="1" t="s">
        <v>496</v>
      </c>
      <c r="T65" s="2"/>
      <c r="U65" s="1" t="s">
        <v>496</v>
      </c>
      <c r="V65" s="2"/>
      <c r="W65" s="1" t="s">
        <v>973</v>
      </c>
      <c r="X65" s="126" t="s">
        <v>1032</v>
      </c>
      <c r="Y65" s="124"/>
      <c r="Z65" s="125"/>
      <c r="AA65" s="1" t="s">
        <v>1031</v>
      </c>
      <c r="AC65" s="1" t="s">
        <v>3</v>
      </c>
      <c r="AE65" s="4">
        <v>37073</v>
      </c>
      <c r="AH65" s="127"/>
      <c r="AI65" s="128"/>
    </row>
    <row r="66" spans="2:35" x14ac:dyDescent="0.25">
      <c r="B66" s="1" t="s">
        <v>858</v>
      </c>
      <c r="I66" s="1" t="s">
        <v>764</v>
      </c>
      <c r="K66" s="1" t="s">
        <v>859</v>
      </c>
      <c r="M66" s="1" t="s">
        <v>860</v>
      </c>
      <c r="N66" s="118" t="s">
        <v>1002</v>
      </c>
      <c r="O66" s="120" t="s">
        <v>1014</v>
      </c>
      <c r="P66" s="139"/>
      <c r="Q66" s="122"/>
      <c r="R66" s="140"/>
      <c r="S66" s="1" t="s">
        <v>496</v>
      </c>
      <c r="T66" s="2"/>
      <c r="U66" s="1" t="s">
        <v>496</v>
      </c>
      <c r="V66" s="2"/>
      <c r="W66" s="1" t="s">
        <v>973</v>
      </c>
      <c r="X66" s="126" t="s">
        <v>1032</v>
      </c>
      <c r="Y66" s="124"/>
      <c r="Z66" s="125"/>
      <c r="AA66" s="1" t="s">
        <v>1031</v>
      </c>
      <c r="AC66" s="1" t="s">
        <v>3</v>
      </c>
      <c r="AE66" s="4">
        <v>37073</v>
      </c>
      <c r="AH66" s="127"/>
      <c r="AI66" s="128"/>
    </row>
    <row r="67" spans="2:35" x14ac:dyDescent="0.25">
      <c r="B67" s="1" t="s">
        <v>861</v>
      </c>
      <c r="I67" s="1" t="s">
        <v>764</v>
      </c>
      <c r="K67" s="1" t="s">
        <v>862</v>
      </c>
      <c r="M67" s="1" t="s">
        <v>863</v>
      </c>
      <c r="N67" s="118" t="s">
        <v>1002</v>
      </c>
      <c r="O67" s="120" t="s">
        <v>1014</v>
      </c>
      <c r="P67" s="139"/>
      <c r="Q67" s="122" t="s">
        <v>1030</v>
      </c>
      <c r="R67" s="140"/>
      <c r="S67" s="1" t="s">
        <v>496</v>
      </c>
      <c r="T67" s="2"/>
      <c r="U67" s="1" t="s">
        <v>496</v>
      </c>
      <c r="V67" s="2"/>
      <c r="W67" s="1" t="s">
        <v>973</v>
      </c>
      <c r="X67" s="126" t="s">
        <v>1032</v>
      </c>
      <c r="Y67" s="124"/>
      <c r="Z67" s="125"/>
      <c r="AA67" s="1" t="s">
        <v>1031</v>
      </c>
      <c r="AC67" s="1" t="s">
        <v>3</v>
      </c>
      <c r="AE67" s="4">
        <v>37073</v>
      </c>
      <c r="AH67" s="127"/>
      <c r="AI67" s="128"/>
    </row>
    <row r="68" spans="2:35" x14ac:dyDescent="0.25">
      <c r="B68" s="1" t="s">
        <v>864</v>
      </c>
      <c r="I68" s="1" t="s">
        <v>764</v>
      </c>
      <c r="K68" s="1" t="s">
        <v>865</v>
      </c>
      <c r="M68" s="1" t="s">
        <v>866</v>
      </c>
      <c r="N68" s="118" t="s">
        <v>1002</v>
      </c>
      <c r="O68" s="120" t="s">
        <v>1014</v>
      </c>
      <c r="P68" s="139"/>
      <c r="Q68" s="122"/>
      <c r="R68" s="140"/>
      <c r="S68" s="1" t="s">
        <v>496</v>
      </c>
      <c r="T68" s="2"/>
      <c r="U68" s="1" t="s">
        <v>496</v>
      </c>
      <c r="V68" s="2"/>
      <c r="W68" s="1" t="s">
        <v>973</v>
      </c>
      <c r="X68" s="126" t="s">
        <v>1032</v>
      </c>
      <c r="Y68" s="124"/>
      <c r="Z68" s="125"/>
      <c r="AA68" s="1" t="s">
        <v>1031</v>
      </c>
      <c r="AC68" s="1" t="s">
        <v>3</v>
      </c>
      <c r="AE68" s="4">
        <v>37073</v>
      </c>
      <c r="AH68" s="127"/>
      <c r="AI68" s="128"/>
    </row>
    <row r="69" spans="2:35" x14ac:dyDescent="0.25">
      <c r="B69" s="1" t="s">
        <v>867</v>
      </c>
      <c r="I69" s="1" t="s">
        <v>764</v>
      </c>
      <c r="K69" s="1" t="s">
        <v>868</v>
      </c>
      <c r="M69" s="1" t="s">
        <v>869</v>
      </c>
      <c r="N69" s="118" t="s">
        <v>1002</v>
      </c>
      <c r="O69" s="120" t="s">
        <v>1014</v>
      </c>
      <c r="P69" s="139"/>
      <c r="Q69" s="122"/>
      <c r="R69" s="140"/>
      <c r="S69" s="1" t="s">
        <v>496</v>
      </c>
      <c r="T69" s="2"/>
      <c r="U69" s="1" t="s">
        <v>496</v>
      </c>
      <c r="V69" s="2"/>
      <c r="W69" s="1" t="s">
        <v>973</v>
      </c>
      <c r="X69" s="126" t="s">
        <v>1032</v>
      </c>
      <c r="Y69" s="124"/>
      <c r="Z69" s="125"/>
      <c r="AA69" s="1" t="s">
        <v>1031</v>
      </c>
      <c r="AC69" s="1" t="s">
        <v>3</v>
      </c>
      <c r="AE69" s="4">
        <v>37073</v>
      </c>
      <c r="AH69" s="127"/>
      <c r="AI69" s="128"/>
    </row>
    <row r="70" spans="2:35" x14ac:dyDescent="0.25">
      <c r="B70" s="1" t="s">
        <v>870</v>
      </c>
      <c r="I70" s="1" t="s">
        <v>764</v>
      </c>
      <c r="K70" s="1" t="s">
        <v>871</v>
      </c>
      <c r="M70" s="1" t="s">
        <v>872</v>
      </c>
      <c r="N70" s="118" t="s">
        <v>1002</v>
      </c>
      <c r="O70" s="120" t="s">
        <v>1014</v>
      </c>
      <c r="P70" s="139"/>
      <c r="Q70" s="122"/>
      <c r="R70" s="140"/>
      <c r="S70" s="1" t="s">
        <v>496</v>
      </c>
      <c r="T70" s="2"/>
      <c r="U70" s="1" t="s">
        <v>496</v>
      </c>
      <c r="V70" s="2"/>
      <c r="W70" s="1" t="s">
        <v>973</v>
      </c>
      <c r="X70" s="126" t="s">
        <v>1032</v>
      </c>
      <c r="Y70" s="124"/>
      <c r="Z70" s="125"/>
      <c r="AA70" s="1" t="s">
        <v>1031</v>
      </c>
      <c r="AC70" s="1" t="s">
        <v>3</v>
      </c>
      <c r="AE70" s="4">
        <v>37073</v>
      </c>
      <c r="AH70" s="127"/>
      <c r="AI70" s="128"/>
    </row>
    <row r="71" spans="2:35" x14ac:dyDescent="0.25">
      <c r="B71" s="1" t="s">
        <v>873</v>
      </c>
      <c r="I71" s="1" t="s">
        <v>764</v>
      </c>
      <c r="K71" s="1" t="s">
        <v>874</v>
      </c>
      <c r="M71" s="1" t="s">
        <v>875</v>
      </c>
      <c r="N71" s="118" t="s">
        <v>1002</v>
      </c>
      <c r="O71" s="120" t="s">
        <v>1014</v>
      </c>
      <c r="P71" s="139"/>
      <c r="Q71" s="122"/>
      <c r="R71" s="140"/>
      <c r="S71" s="1" t="s">
        <v>496</v>
      </c>
      <c r="T71" s="2"/>
      <c r="U71" s="1" t="s">
        <v>496</v>
      </c>
      <c r="V71" s="2"/>
      <c r="W71" s="1" t="s">
        <v>973</v>
      </c>
      <c r="X71" s="126" t="s">
        <v>1032</v>
      </c>
      <c r="Y71" s="124"/>
      <c r="Z71" s="125"/>
      <c r="AA71" s="1" t="s">
        <v>1031</v>
      </c>
      <c r="AC71" s="1" t="s">
        <v>3</v>
      </c>
      <c r="AE71" s="4">
        <v>37073</v>
      </c>
      <c r="AH71" s="127"/>
      <c r="AI71" s="128"/>
    </row>
    <row r="72" spans="2:35" x14ac:dyDescent="0.25">
      <c r="B72" s="1" t="s">
        <v>876</v>
      </c>
      <c r="I72" s="1" t="s">
        <v>764</v>
      </c>
      <c r="K72" s="1" t="s">
        <v>877</v>
      </c>
      <c r="M72" s="1" t="s">
        <v>878</v>
      </c>
      <c r="N72" s="118" t="s">
        <v>1002</v>
      </c>
      <c r="O72" s="120" t="s">
        <v>1014</v>
      </c>
      <c r="P72" s="139"/>
      <c r="Q72" s="122" t="s">
        <v>1029</v>
      </c>
      <c r="R72" s="140"/>
      <c r="S72" s="1" t="s">
        <v>496</v>
      </c>
      <c r="T72" s="2"/>
      <c r="U72" s="1" t="s">
        <v>496</v>
      </c>
      <c r="V72" s="2"/>
      <c r="W72" s="1" t="s">
        <v>973</v>
      </c>
      <c r="X72" s="126" t="s">
        <v>1032</v>
      </c>
      <c r="Y72" s="124"/>
      <c r="Z72" s="125"/>
      <c r="AA72" s="1" t="s">
        <v>1031</v>
      </c>
      <c r="AC72" s="1" t="s">
        <v>3</v>
      </c>
      <c r="AE72" s="4">
        <v>37073</v>
      </c>
      <c r="AH72" s="127"/>
      <c r="AI72" s="128"/>
    </row>
    <row r="73" spans="2:35" x14ac:dyDescent="0.25">
      <c r="B73" s="1" t="s">
        <v>879</v>
      </c>
      <c r="I73" s="1" t="s">
        <v>764</v>
      </c>
      <c r="K73" s="1" t="s">
        <v>880</v>
      </c>
      <c r="M73" s="1" t="s">
        <v>881</v>
      </c>
      <c r="N73" s="118" t="s">
        <v>1002</v>
      </c>
      <c r="O73" s="120" t="s">
        <v>1014</v>
      </c>
      <c r="P73" s="139"/>
      <c r="Q73" s="122"/>
      <c r="R73" s="140"/>
      <c r="S73" s="1" t="s">
        <v>496</v>
      </c>
      <c r="T73" s="2"/>
      <c r="U73" s="1" t="s">
        <v>496</v>
      </c>
      <c r="V73" s="2"/>
      <c r="W73" s="1" t="s">
        <v>973</v>
      </c>
      <c r="X73" s="126" t="s">
        <v>1032</v>
      </c>
      <c r="Y73" s="124"/>
      <c r="Z73" s="125"/>
      <c r="AA73" s="1" t="s">
        <v>1031</v>
      </c>
      <c r="AC73" s="1" t="s">
        <v>3</v>
      </c>
      <c r="AE73" s="4">
        <v>37073</v>
      </c>
      <c r="AH73" s="127"/>
      <c r="AI73" s="128"/>
    </row>
    <row r="74" spans="2:35" x14ac:dyDescent="0.25">
      <c r="B74" s="1" t="s">
        <v>882</v>
      </c>
      <c r="I74" s="1" t="s">
        <v>764</v>
      </c>
      <c r="K74" s="1" t="s">
        <v>883</v>
      </c>
      <c r="M74" s="1" t="s">
        <v>884</v>
      </c>
      <c r="N74" s="118" t="s">
        <v>1002</v>
      </c>
      <c r="O74" s="120" t="s">
        <v>1014</v>
      </c>
      <c r="P74" s="139"/>
      <c r="Q74" s="122"/>
      <c r="R74" s="140"/>
      <c r="S74" s="1" t="s">
        <v>496</v>
      </c>
      <c r="T74" s="2"/>
      <c r="U74" s="1" t="s">
        <v>496</v>
      </c>
      <c r="V74" s="2"/>
      <c r="W74" s="1" t="s">
        <v>973</v>
      </c>
      <c r="X74" s="126" t="s">
        <v>1032</v>
      </c>
      <c r="Y74" s="124"/>
      <c r="Z74" s="125"/>
      <c r="AA74" s="1" t="s">
        <v>1031</v>
      </c>
      <c r="AC74" s="1" t="s">
        <v>3</v>
      </c>
      <c r="AE74" s="4">
        <v>37073</v>
      </c>
      <c r="AH74" s="127"/>
      <c r="AI74" s="128"/>
    </row>
    <row r="75" spans="2:35" x14ac:dyDescent="0.25">
      <c r="B75" s="1" t="s">
        <v>885</v>
      </c>
      <c r="I75" s="1" t="s">
        <v>764</v>
      </c>
      <c r="K75" s="1" t="s">
        <v>886</v>
      </c>
      <c r="M75" s="1" t="s">
        <v>887</v>
      </c>
      <c r="N75" s="118" t="s">
        <v>1002</v>
      </c>
      <c r="O75" s="120" t="s">
        <v>1014</v>
      </c>
      <c r="P75" s="139"/>
      <c r="Q75" s="122"/>
      <c r="R75" s="140"/>
      <c r="S75" s="1" t="s">
        <v>496</v>
      </c>
      <c r="T75" s="2"/>
      <c r="U75" s="1" t="s">
        <v>496</v>
      </c>
      <c r="V75" s="2"/>
      <c r="W75" s="1" t="s">
        <v>973</v>
      </c>
      <c r="X75" s="126" t="s">
        <v>1032</v>
      </c>
      <c r="Y75" s="124"/>
      <c r="Z75" s="125"/>
      <c r="AA75" s="1" t="s">
        <v>1031</v>
      </c>
      <c r="AC75" s="1" t="s">
        <v>3</v>
      </c>
      <c r="AE75" s="4">
        <v>37073</v>
      </c>
      <c r="AH75" s="127"/>
      <c r="AI75" s="128"/>
    </row>
    <row r="76" spans="2:35" x14ac:dyDescent="0.25">
      <c r="B76" s="1" t="s">
        <v>888</v>
      </c>
      <c r="I76" s="1" t="s">
        <v>764</v>
      </c>
      <c r="K76" s="1" t="s">
        <v>889</v>
      </c>
      <c r="M76" s="1" t="s">
        <v>890</v>
      </c>
      <c r="N76" s="118" t="s">
        <v>1002</v>
      </c>
      <c r="O76" s="120" t="s">
        <v>1014</v>
      </c>
      <c r="P76" s="139"/>
      <c r="Q76" s="122"/>
      <c r="R76" s="140"/>
      <c r="S76" s="1" t="s">
        <v>496</v>
      </c>
      <c r="T76" s="2"/>
      <c r="U76" s="1" t="s">
        <v>496</v>
      </c>
      <c r="V76" s="2"/>
      <c r="W76" s="1" t="s">
        <v>973</v>
      </c>
      <c r="X76" s="126" t="s">
        <v>1032</v>
      </c>
      <c r="Y76" s="124"/>
      <c r="Z76" s="125"/>
      <c r="AA76" s="1" t="s">
        <v>1031</v>
      </c>
      <c r="AC76" s="1" t="s">
        <v>3</v>
      </c>
      <c r="AE76" s="4">
        <v>37073</v>
      </c>
      <c r="AH76" s="127"/>
      <c r="AI76" s="128"/>
    </row>
    <row r="77" spans="2:35" x14ac:dyDescent="0.25">
      <c r="B77" s="1" t="s">
        <v>891</v>
      </c>
      <c r="I77" s="1" t="s">
        <v>764</v>
      </c>
      <c r="K77" s="1" t="s">
        <v>892</v>
      </c>
      <c r="M77" s="1" t="s">
        <v>893</v>
      </c>
      <c r="N77" s="118" t="s">
        <v>1002</v>
      </c>
      <c r="O77" s="120" t="s">
        <v>1014</v>
      </c>
      <c r="P77" s="139"/>
      <c r="Q77" s="122"/>
      <c r="R77" s="140"/>
      <c r="S77" s="1" t="s">
        <v>496</v>
      </c>
      <c r="T77" s="2"/>
      <c r="U77" s="1" t="s">
        <v>496</v>
      </c>
      <c r="V77" s="2"/>
      <c r="W77" s="1" t="s">
        <v>973</v>
      </c>
      <c r="X77" s="126" t="s">
        <v>1032</v>
      </c>
      <c r="Y77" s="124"/>
      <c r="Z77" s="125"/>
      <c r="AA77" s="1" t="s">
        <v>1031</v>
      </c>
      <c r="AC77" s="1" t="s">
        <v>3</v>
      </c>
      <c r="AE77" s="4">
        <v>37073</v>
      </c>
      <c r="AH77" s="127"/>
      <c r="AI77" s="128"/>
    </row>
    <row r="78" spans="2:35" x14ac:dyDescent="0.25">
      <c r="B78" s="1" t="s">
        <v>894</v>
      </c>
      <c r="I78" s="1" t="s">
        <v>764</v>
      </c>
      <c r="K78" s="1" t="s">
        <v>895</v>
      </c>
      <c r="M78" s="1" t="s">
        <v>896</v>
      </c>
      <c r="N78" s="118" t="s">
        <v>1002</v>
      </c>
      <c r="O78" s="120" t="s">
        <v>1014</v>
      </c>
      <c r="P78" s="139"/>
      <c r="Q78" s="122"/>
      <c r="R78" s="140"/>
      <c r="S78" s="1" t="s">
        <v>496</v>
      </c>
      <c r="T78" s="2"/>
      <c r="U78" s="1" t="s">
        <v>496</v>
      </c>
      <c r="V78" s="2"/>
      <c r="W78" s="1" t="s">
        <v>973</v>
      </c>
      <c r="X78" s="126" t="s">
        <v>1032</v>
      </c>
      <c r="Y78" s="124"/>
      <c r="Z78" s="125"/>
      <c r="AA78" s="1" t="s">
        <v>1031</v>
      </c>
      <c r="AC78" s="1" t="s">
        <v>3</v>
      </c>
      <c r="AE78" s="4">
        <v>37073</v>
      </c>
      <c r="AH78" s="127"/>
      <c r="AI78" s="128"/>
    </row>
    <row r="79" spans="2:35" x14ac:dyDescent="0.25">
      <c r="B79" s="1" t="s">
        <v>897</v>
      </c>
      <c r="I79" s="1" t="s">
        <v>764</v>
      </c>
      <c r="K79" s="1" t="s">
        <v>898</v>
      </c>
      <c r="M79" s="1" t="s">
        <v>899</v>
      </c>
      <c r="N79" s="118" t="s">
        <v>1002</v>
      </c>
      <c r="O79" s="120" t="s">
        <v>1014</v>
      </c>
      <c r="P79" s="139"/>
      <c r="Q79" s="122"/>
      <c r="R79" s="140"/>
      <c r="S79" s="1" t="s">
        <v>496</v>
      </c>
      <c r="T79" s="2"/>
      <c r="U79" s="1" t="s">
        <v>496</v>
      </c>
      <c r="V79" s="2"/>
      <c r="W79" s="1" t="s">
        <v>973</v>
      </c>
      <c r="X79" s="126" t="s">
        <v>1032</v>
      </c>
      <c r="Y79" s="124"/>
      <c r="Z79" s="125"/>
      <c r="AA79" s="1" t="s">
        <v>1031</v>
      </c>
      <c r="AC79" s="1" t="s">
        <v>3</v>
      </c>
      <c r="AE79" s="4">
        <v>37073</v>
      </c>
      <c r="AH79" s="127"/>
      <c r="AI79" s="128"/>
    </row>
    <row r="80" spans="2:35" x14ac:dyDescent="0.25">
      <c r="B80" s="1" t="s">
        <v>900</v>
      </c>
      <c r="I80" s="1" t="s">
        <v>764</v>
      </c>
      <c r="K80" s="1" t="s">
        <v>901</v>
      </c>
      <c r="M80" s="1" t="s">
        <v>902</v>
      </c>
      <c r="N80" s="118" t="s">
        <v>1002</v>
      </c>
      <c r="O80" s="120" t="s">
        <v>1014</v>
      </c>
      <c r="P80" s="139"/>
      <c r="Q80" s="122"/>
      <c r="R80" s="140"/>
      <c r="S80" s="1" t="s">
        <v>496</v>
      </c>
      <c r="T80" s="2"/>
      <c r="U80" s="1" t="s">
        <v>496</v>
      </c>
      <c r="V80" s="2"/>
      <c r="W80" s="1" t="s">
        <v>973</v>
      </c>
      <c r="X80" s="126" t="s">
        <v>1032</v>
      </c>
      <c r="Y80" s="124"/>
      <c r="Z80" s="125"/>
      <c r="AA80" s="1" t="s">
        <v>1031</v>
      </c>
      <c r="AC80" s="1" t="s">
        <v>3</v>
      </c>
      <c r="AE80" s="4">
        <v>37073</v>
      </c>
      <c r="AH80" s="127"/>
      <c r="AI80" s="128"/>
    </row>
    <row r="81" spans="2:35" x14ac:dyDescent="0.25">
      <c r="B81" s="1" t="s">
        <v>903</v>
      </c>
      <c r="I81" s="1" t="s">
        <v>764</v>
      </c>
      <c r="K81" s="1" t="s">
        <v>904</v>
      </c>
      <c r="M81" s="1" t="s">
        <v>905</v>
      </c>
      <c r="N81" s="118" t="s">
        <v>1002</v>
      </c>
      <c r="O81" s="120" t="s">
        <v>1014</v>
      </c>
      <c r="P81" s="139"/>
      <c r="Q81" s="122"/>
      <c r="R81" s="140"/>
      <c r="S81" s="1" t="s">
        <v>496</v>
      </c>
      <c r="T81" s="2"/>
      <c r="U81" s="1" t="s">
        <v>496</v>
      </c>
      <c r="V81" s="2"/>
      <c r="W81" s="1" t="s">
        <v>973</v>
      </c>
      <c r="X81" s="126" t="s">
        <v>1032</v>
      </c>
      <c r="Y81" s="124"/>
      <c r="Z81" s="125"/>
      <c r="AA81" s="1" t="s">
        <v>1031</v>
      </c>
      <c r="AC81" s="1" t="s">
        <v>3</v>
      </c>
      <c r="AE81" s="4">
        <v>37073</v>
      </c>
      <c r="AH81" s="127"/>
      <c r="AI81" s="128"/>
    </row>
    <row r="82" spans="2:35" x14ac:dyDescent="0.25">
      <c r="B82" s="1" t="s">
        <v>906</v>
      </c>
      <c r="I82" s="1" t="s">
        <v>678</v>
      </c>
      <c r="K82" s="1" t="s">
        <v>907</v>
      </c>
      <c r="M82" s="1" t="s">
        <v>908</v>
      </c>
      <c r="N82" s="118" t="s">
        <v>1002</v>
      </c>
      <c r="O82" s="120" t="s">
        <v>1014</v>
      </c>
      <c r="P82" s="139"/>
      <c r="Q82" s="122" t="s">
        <v>1017</v>
      </c>
      <c r="R82" s="140"/>
      <c r="S82" s="1" t="s">
        <v>496</v>
      </c>
      <c r="T82" s="2"/>
      <c r="U82" s="1" t="s">
        <v>496</v>
      </c>
      <c r="V82" s="2"/>
      <c r="W82" s="1" t="s">
        <v>973</v>
      </c>
      <c r="X82" s="126" t="s">
        <v>1033</v>
      </c>
      <c r="Y82" s="124"/>
      <c r="Z82" s="125"/>
      <c r="AA82" s="1" t="s">
        <v>988</v>
      </c>
      <c r="AC82" s="1" t="s">
        <v>3</v>
      </c>
      <c r="AE82" s="4" t="s">
        <v>976</v>
      </c>
      <c r="AH82" s="127"/>
      <c r="AI82" s="128"/>
    </row>
    <row r="83" spans="2:35" x14ac:dyDescent="0.25">
      <c r="B83" s="1" t="s">
        <v>909</v>
      </c>
      <c r="I83" s="1" t="s">
        <v>678</v>
      </c>
      <c r="K83" s="1" t="s">
        <v>910</v>
      </c>
      <c r="N83" s="118"/>
      <c r="O83" s="120"/>
      <c r="P83" s="139"/>
      <c r="Q83" s="122"/>
      <c r="R83" s="140"/>
      <c r="S83" s="1" t="s">
        <v>496</v>
      </c>
      <c r="T83" s="2"/>
      <c r="U83" s="1" t="s">
        <v>496</v>
      </c>
      <c r="V83" s="2"/>
      <c r="W83" s="1" t="s">
        <v>973</v>
      </c>
      <c r="X83" s="126"/>
      <c r="Y83" s="124"/>
      <c r="Z83" s="125"/>
      <c r="AA83" s="1" t="s">
        <v>989</v>
      </c>
      <c r="AC83" s="1" t="s">
        <v>3</v>
      </c>
      <c r="AE83" s="4" t="s">
        <v>976</v>
      </c>
      <c r="AH83" s="127"/>
      <c r="AI83" s="128"/>
    </row>
    <row r="84" spans="2:35" x14ac:dyDescent="0.25">
      <c r="B84" s="1" t="s">
        <v>911</v>
      </c>
      <c r="I84" s="1" t="s">
        <v>678</v>
      </c>
      <c r="K84" s="1" t="s">
        <v>912</v>
      </c>
      <c r="M84" s="1" t="s">
        <v>913</v>
      </c>
      <c r="N84" s="118" t="s">
        <v>1002</v>
      </c>
      <c r="O84" s="120" t="s">
        <v>1014</v>
      </c>
      <c r="P84" s="139"/>
      <c r="Q84" s="122" t="s">
        <v>1017</v>
      </c>
      <c r="R84" s="140"/>
      <c r="S84" s="1" t="s">
        <v>496</v>
      </c>
      <c r="T84" s="2"/>
      <c r="U84" s="1" t="s">
        <v>496</v>
      </c>
      <c r="V84" s="2"/>
      <c r="W84" s="1" t="s">
        <v>973</v>
      </c>
      <c r="X84" s="126" t="s">
        <v>1033</v>
      </c>
      <c r="Y84" s="124"/>
      <c r="Z84" s="125"/>
      <c r="AA84" s="1" t="s">
        <v>989</v>
      </c>
      <c r="AC84" s="1" t="s">
        <v>3</v>
      </c>
      <c r="AE84" s="4" t="s">
        <v>976</v>
      </c>
      <c r="AH84" s="127"/>
      <c r="AI84" s="128"/>
    </row>
    <row r="85" spans="2:35" x14ac:dyDescent="0.25">
      <c r="B85" s="1" t="s">
        <v>914</v>
      </c>
      <c r="I85" s="1" t="s">
        <v>678</v>
      </c>
      <c r="K85" s="1" t="s">
        <v>915</v>
      </c>
      <c r="M85" s="1" t="s">
        <v>916</v>
      </c>
      <c r="N85" s="118" t="s">
        <v>1009</v>
      </c>
      <c r="O85" s="120" t="s">
        <v>1014</v>
      </c>
      <c r="P85" s="139"/>
      <c r="Q85" s="122"/>
      <c r="R85" s="140"/>
      <c r="S85" s="1" t="s">
        <v>496</v>
      </c>
      <c r="T85" s="2"/>
      <c r="U85" s="1" t="s">
        <v>496</v>
      </c>
      <c r="V85" s="2"/>
      <c r="W85" s="1" t="s">
        <v>973</v>
      </c>
      <c r="X85" s="126" t="s">
        <v>1033</v>
      </c>
      <c r="Y85" s="124"/>
      <c r="Z85" s="125"/>
      <c r="AH85" s="127"/>
      <c r="AI85" s="128"/>
    </row>
    <row r="86" spans="2:35" x14ac:dyDescent="0.25">
      <c r="B86" s="1" t="s">
        <v>917</v>
      </c>
      <c r="I86" s="1" t="s">
        <v>678</v>
      </c>
      <c r="K86" s="1" t="s">
        <v>918</v>
      </c>
      <c r="N86" s="118"/>
      <c r="O86" s="120"/>
      <c r="P86" s="139"/>
      <c r="Q86" s="122"/>
      <c r="R86" s="140"/>
      <c r="S86" s="1" t="s">
        <v>496</v>
      </c>
      <c r="T86" s="2"/>
      <c r="U86" s="1" t="s">
        <v>496</v>
      </c>
      <c r="V86" s="2"/>
      <c r="W86" s="1" t="s">
        <v>496</v>
      </c>
      <c r="X86" s="126"/>
      <c r="Y86" s="124"/>
      <c r="Z86" s="125"/>
      <c r="AA86" s="1" t="s">
        <v>990</v>
      </c>
      <c r="AC86" s="1" t="s">
        <v>3</v>
      </c>
      <c r="AE86" s="4" t="s">
        <v>976</v>
      </c>
      <c r="AH86" s="127"/>
      <c r="AI86" s="128"/>
    </row>
    <row r="87" spans="2:35" x14ac:dyDescent="0.25">
      <c r="B87" s="1" t="s">
        <v>919</v>
      </c>
      <c r="I87" s="1" t="s">
        <v>678</v>
      </c>
      <c r="K87" s="1" t="s">
        <v>920</v>
      </c>
      <c r="M87" s="1" t="s">
        <v>921</v>
      </c>
      <c r="N87" s="118" t="s">
        <v>1002</v>
      </c>
      <c r="O87" s="120" t="s">
        <v>1014</v>
      </c>
      <c r="P87" s="139"/>
      <c r="Q87" s="144" t="s">
        <v>1020</v>
      </c>
      <c r="R87" s="140"/>
      <c r="S87" s="1" t="s">
        <v>496</v>
      </c>
      <c r="T87" s="2"/>
      <c r="U87" s="1" t="s">
        <v>496</v>
      </c>
      <c r="V87" s="2"/>
      <c r="W87" s="1" t="s">
        <v>973</v>
      </c>
      <c r="X87" s="126" t="s">
        <v>1033</v>
      </c>
      <c r="Y87" s="124"/>
      <c r="Z87" s="125"/>
      <c r="AH87" s="127"/>
      <c r="AI87" s="128"/>
    </row>
    <row r="88" spans="2:35" x14ac:dyDescent="0.25">
      <c r="B88" s="1" t="s">
        <v>922</v>
      </c>
      <c r="I88" s="1" t="s">
        <v>678</v>
      </c>
      <c r="K88" s="1" t="s">
        <v>923</v>
      </c>
      <c r="M88" s="1" t="s">
        <v>924</v>
      </c>
      <c r="N88" s="118" t="s">
        <v>1002</v>
      </c>
      <c r="O88" s="120" t="s">
        <v>1014</v>
      </c>
      <c r="P88" s="139"/>
      <c r="Q88" s="122" t="s">
        <v>1017</v>
      </c>
      <c r="R88" s="140"/>
      <c r="S88" s="1" t="s">
        <v>496</v>
      </c>
      <c r="T88" s="2"/>
      <c r="U88" s="1" t="s">
        <v>496</v>
      </c>
      <c r="V88" s="2"/>
      <c r="W88" s="1" t="s">
        <v>973</v>
      </c>
      <c r="X88" s="126" t="s">
        <v>1033</v>
      </c>
      <c r="Y88" s="124"/>
      <c r="Z88" s="125"/>
      <c r="AA88" s="1" t="s">
        <v>991</v>
      </c>
      <c r="AC88" s="1" t="s">
        <v>3</v>
      </c>
      <c r="AE88" s="4" t="s">
        <v>976</v>
      </c>
      <c r="AH88" s="127"/>
      <c r="AI88" s="128"/>
    </row>
    <row r="89" spans="2:35" x14ac:dyDescent="0.25">
      <c r="B89" s="1" t="s">
        <v>925</v>
      </c>
      <c r="I89" s="1" t="s">
        <v>678</v>
      </c>
      <c r="K89" s="1" t="s">
        <v>926</v>
      </c>
      <c r="M89" s="1" t="s">
        <v>1010</v>
      </c>
      <c r="N89" s="118" t="s">
        <v>1002</v>
      </c>
      <c r="O89" s="120" t="s">
        <v>1014</v>
      </c>
      <c r="P89" s="139"/>
      <c r="Q89" s="122" t="s">
        <v>1017</v>
      </c>
      <c r="R89" s="140"/>
      <c r="S89" s="1" t="s">
        <v>496</v>
      </c>
      <c r="T89" s="2"/>
      <c r="U89" s="1" t="s">
        <v>496</v>
      </c>
      <c r="V89" s="2"/>
      <c r="W89" s="1" t="s">
        <v>973</v>
      </c>
      <c r="X89" s="126" t="s">
        <v>1033</v>
      </c>
      <c r="Y89" s="124"/>
      <c r="Z89" s="125"/>
      <c r="AA89" s="1" t="s">
        <v>992</v>
      </c>
      <c r="AC89" s="1" t="s">
        <v>3</v>
      </c>
      <c r="AE89" s="4" t="s">
        <v>976</v>
      </c>
      <c r="AH89" s="127"/>
      <c r="AI89" s="128"/>
    </row>
    <row r="90" spans="2:35" x14ac:dyDescent="0.25">
      <c r="B90" s="1" t="s">
        <v>927</v>
      </c>
      <c r="I90" s="1" t="s">
        <v>678</v>
      </c>
      <c r="K90" s="1" t="s">
        <v>928</v>
      </c>
      <c r="M90" s="143" t="s">
        <v>929</v>
      </c>
      <c r="N90" s="142" t="s">
        <v>1011</v>
      </c>
      <c r="O90" s="120" t="s">
        <v>1014</v>
      </c>
      <c r="P90" s="139"/>
      <c r="Q90" s="145" t="s">
        <v>1017</v>
      </c>
      <c r="R90" s="140"/>
      <c r="S90" s="1" t="s">
        <v>496</v>
      </c>
      <c r="T90" s="2"/>
      <c r="U90" s="1" t="s">
        <v>496</v>
      </c>
      <c r="V90" s="2"/>
      <c r="W90" s="1" t="s">
        <v>973</v>
      </c>
      <c r="X90" s="126" t="s">
        <v>1033</v>
      </c>
      <c r="Y90" s="124"/>
      <c r="Z90" s="125"/>
      <c r="AH90" s="127"/>
      <c r="AI90" s="128"/>
    </row>
    <row r="91" spans="2:35" x14ac:dyDescent="0.25">
      <c r="B91" s="1" t="s">
        <v>930</v>
      </c>
      <c r="I91" s="1" t="s">
        <v>678</v>
      </c>
      <c r="K91" s="1" t="s">
        <v>931</v>
      </c>
      <c r="M91" s="1" t="s">
        <v>1012</v>
      </c>
      <c r="N91" s="118"/>
      <c r="O91" s="120"/>
      <c r="P91" s="139"/>
      <c r="Q91" s="122"/>
      <c r="R91" s="140"/>
      <c r="S91" s="1" t="s">
        <v>496</v>
      </c>
      <c r="T91" s="2"/>
      <c r="U91" s="1" t="s">
        <v>496</v>
      </c>
      <c r="V91" s="2"/>
      <c r="W91" s="1" t="s">
        <v>973</v>
      </c>
      <c r="X91" s="126"/>
      <c r="Y91" s="124"/>
      <c r="Z91" s="125"/>
      <c r="AH91" s="127"/>
      <c r="AI91" s="128"/>
    </row>
    <row r="92" spans="2:35" x14ac:dyDescent="0.25">
      <c r="B92" s="1" t="s">
        <v>932</v>
      </c>
      <c r="I92" s="1" t="s">
        <v>678</v>
      </c>
      <c r="K92" s="1" t="s">
        <v>933</v>
      </c>
      <c r="M92" s="1" t="s">
        <v>934</v>
      </c>
      <c r="N92" s="118" t="s">
        <v>1002</v>
      </c>
      <c r="O92" s="120" t="s">
        <v>1015</v>
      </c>
      <c r="P92" s="139"/>
      <c r="Q92" s="122" t="s">
        <v>1021</v>
      </c>
      <c r="R92" s="140"/>
      <c r="S92" s="1" t="s">
        <v>496</v>
      </c>
      <c r="T92" s="2"/>
      <c r="U92" s="1" t="s">
        <v>496</v>
      </c>
      <c r="V92" s="2"/>
      <c r="W92" s="1" t="s">
        <v>973</v>
      </c>
      <c r="X92" s="126" t="s">
        <v>1033</v>
      </c>
      <c r="Y92" s="124"/>
      <c r="Z92" s="125"/>
      <c r="AA92" s="1" t="s">
        <v>993</v>
      </c>
      <c r="AC92" s="1" t="s">
        <v>3</v>
      </c>
      <c r="AE92" s="4" t="s">
        <v>976</v>
      </c>
      <c r="AH92" s="127"/>
      <c r="AI92" s="128"/>
    </row>
    <row r="93" spans="2:35" x14ac:dyDescent="0.25">
      <c r="B93" s="1" t="s">
        <v>935</v>
      </c>
      <c r="I93" s="1" t="s">
        <v>678</v>
      </c>
      <c r="K93" s="1" t="s">
        <v>936</v>
      </c>
      <c r="M93" s="1" t="s">
        <v>937</v>
      </c>
      <c r="N93" s="118" t="s">
        <v>1002</v>
      </c>
      <c r="O93" s="120" t="s">
        <v>1015</v>
      </c>
      <c r="P93" s="139"/>
      <c r="Q93" s="122" t="s">
        <v>1017</v>
      </c>
      <c r="R93" s="140"/>
      <c r="S93" s="1" t="s">
        <v>496</v>
      </c>
      <c r="T93" s="2"/>
      <c r="U93" s="1" t="s">
        <v>496</v>
      </c>
      <c r="V93" s="2"/>
      <c r="W93" s="1" t="s">
        <v>973</v>
      </c>
      <c r="X93" s="126" t="s">
        <v>1033</v>
      </c>
      <c r="Y93" s="124"/>
      <c r="Z93" s="125"/>
      <c r="AA93" s="1" t="s">
        <v>994</v>
      </c>
      <c r="AC93" s="1" t="s">
        <v>3</v>
      </c>
      <c r="AE93" s="4" t="s">
        <v>976</v>
      </c>
      <c r="AH93" s="127"/>
      <c r="AI93" s="128"/>
    </row>
    <row r="94" spans="2:35" x14ac:dyDescent="0.25">
      <c r="B94" s="1" t="s">
        <v>938</v>
      </c>
      <c r="I94" s="1" t="s">
        <v>678</v>
      </c>
      <c r="K94" s="1" t="s">
        <v>939</v>
      </c>
      <c r="M94" s="1" t="s">
        <v>940</v>
      </c>
      <c r="N94" s="118" t="s">
        <v>1005</v>
      </c>
      <c r="O94" s="120" t="s">
        <v>1015</v>
      </c>
      <c r="P94" s="139"/>
      <c r="Q94" s="122"/>
      <c r="R94" s="140"/>
      <c r="S94" s="1" t="s">
        <v>496</v>
      </c>
      <c r="T94" s="2"/>
      <c r="U94" s="1" t="s">
        <v>496</v>
      </c>
      <c r="V94" s="2"/>
      <c r="W94" s="1" t="s">
        <v>973</v>
      </c>
      <c r="X94" s="126" t="s">
        <v>1034</v>
      </c>
      <c r="Y94" s="124"/>
      <c r="Z94" s="125"/>
      <c r="AH94" s="127"/>
      <c r="AI94" s="128"/>
    </row>
    <row r="95" spans="2:35" x14ac:dyDescent="0.25">
      <c r="B95" s="1" t="s">
        <v>941</v>
      </c>
      <c r="I95" s="1" t="s">
        <v>678</v>
      </c>
      <c r="K95" s="1" t="s">
        <v>942</v>
      </c>
      <c r="M95" s="1" t="s">
        <v>943</v>
      </c>
      <c r="N95" s="118" t="s">
        <v>1002</v>
      </c>
      <c r="O95" s="120" t="s">
        <v>1015</v>
      </c>
      <c r="P95" s="139"/>
      <c r="Q95" s="122"/>
      <c r="R95" s="140"/>
      <c r="S95" s="1" t="s">
        <v>496</v>
      </c>
      <c r="T95" s="2"/>
      <c r="U95" s="1" t="s">
        <v>496</v>
      </c>
      <c r="V95" s="2"/>
      <c r="W95" s="1" t="s">
        <v>973</v>
      </c>
      <c r="X95" s="126" t="s">
        <v>1033</v>
      </c>
      <c r="Y95" s="124"/>
      <c r="Z95" s="125"/>
      <c r="AH95" s="127"/>
      <c r="AI95" s="128"/>
    </row>
    <row r="96" spans="2:35" x14ac:dyDescent="0.25">
      <c r="B96" s="1" t="s">
        <v>944</v>
      </c>
      <c r="I96" s="1" t="s">
        <v>678</v>
      </c>
      <c r="K96" s="1" t="s">
        <v>945</v>
      </c>
      <c r="M96" s="1" t="s">
        <v>946</v>
      </c>
      <c r="N96" s="118" t="s">
        <v>1002</v>
      </c>
      <c r="O96" s="120" t="s">
        <v>1015</v>
      </c>
      <c r="P96" s="139"/>
      <c r="Q96" s="122"/>
      <c r="R96" s="140"/>
      <c r="S96" s="1" t="s">
        <v>496</v>
      </c>
      <c r="T96" s="2"/>
      <c r="U96" s="1" t="s">
        <v>496</v>
      </c>
      <c r="V96" s="2"/>
      <c r="W96" s="1" t="s">
        <v>973</v>
      </c>
      <c r="X96" s="126" t="s">
        <v>1033</v>
      </c>
      <c r="Y96" s="124"/>
      <c r="Z96" s="125"/>
      <c r="AA96" s="1" t="s">
        <v>995</v>
      </c>
      <c r="AC96" s="1" t="s">
        <v>3</v>
      </c>
      <c r="AE96" s="4" t="s">
        <v>976</v>
      </c>
      <c r="AH96" s="127"/>
      <c r="AI96" s="128"/>
    </row>
    <row r="97" spans="1:35" x14ac:dyDescent="0.25">
      <c r="B97" s="1" t="s">
        <v>947</v>
      </c>
      <c r="I97" s="1" t="s">
        <v>678</v>
      </c>
      <c r="K97" s="1" t="s">
        <v>948</v>
      </c>
      <c r="M97" s="1" t="s">
        <v>949</v>
      </c>
      <c r="N97" s="118" t="s">
        <v>1002</v>
      </c>
      <c r="O97" s="120" t="s">
        <v>1015</v>
      </c>
      <c r="P97" s="139"/>
      <c r="Q97" s="122" t="s">
        <v>1017</v>
      </c>
      <c r="R97" s="140"/>
      <c r="S97" s="1" t="s">
        <v>496</v>
      </c>
      <c r="T97" s="2"/>
      <c r="U97" s="1" t="s">
        <v>496</v>
      </c>
      <c r="V97" s="2"/>
      <c r="W97" s="1" t="s">
        <v>496</v>
      </c>
      <c r="X97" s="126" t="s">
        <v>1033</v>
      </c>
      <c r="Y97" s="124"/>
      <c r="Z97" s="125"/>
      <c r="AA97" s="1" t="s">
        <v>996</v>
      </c>
      <c r="AC97" s="1" t="s">
        <v>3</v>
      </c>
      <c r="AE97" s="4" t="s">
        <v>976</v>
      </c>
      <c r="AH97" s="127"/>
      <c r="AI97" s="128"/>
    </row>
    <row r="98" spans="1:35" x14ac:dyDescent="0.25">
      <c r="B98" s="1" t="s">
        <v>950</v>
      </c>
      <c r="I98" s="1" t="s">
        <v>678</v>
      </c>
      <c r="K98" s="1" t="s">
        <v>951</v>
      </c>
      <c r="M98" s="1" t="s">
        <v>952</v>
      </c>
      <c r="N98" s="118" t="s">
        <v>1002</v>
      </c>
      <c r="O98" s="120" t="s">
        <v>1015</v>
      </c>
      <c r="P98" s="139"/>
      <c r="Q98" s="122" t="s">
        <v>1017</v>
      </c>
      <c r="R98" s="140"/>
      <c r="S98" s="1" t="s">
        <v>496</v>
      </c>
      <c r="T98" s="2"/>
      <c r="U98" s="1" t="s">
        <v>496</v>
      </c>
      <c r="V98" s="2"/>
      <c r="W98" s="1" t="s">
        <v>496</v>
      </c>
      <c r="X98" s="126" t="s">
        <v>1033</v>
      </c>
      <c r="Y98" s="124"/>
      <c r="Z98" s="125"/>
      <c r="AA98" s="1" t="s">
        <v>997</v>
      </c>
      <c r="AC98" s="1" t="s">
        <v>3</v>
      </c>
      <c r="AE98" s="4" t="s">
        <v>976</v>
      </c>
      <c r="AH98" s="127"/>
      <c r="AI98" s="128"/>
    </row>
    <row r="99" spans="1:35" x14ac:dyDescent="0.25">
      <c r="B99" s="1" t="s">
        <v>953</v>
      </c>
      <c r="I99" s="1" t="s">
        <v>678</v>
      </c>
      <c r="K99" s="1" t="s">
        <v>954</v>
      </c>
      <c r="M99" s="1" t="s">
        <v>955</v>
      </c>
      <c r="N99" s="118" t="s">
        <v>1002</v>
      </c>
      <c r="O99" s="120" t="s">
        <v>1015</v>
      </c>
      <c r="P99" s="139"/>
      <c r="Q99" s="122" t="s">
        <v>1022</v>
      </c>
      <c r="R99" s="140"/>
      <c r="S99" s="1" t="s">
        <v>496</v>
      </c>
      <c r="T99" s="2"/>
      <c r="U99" s="1" t="s">
        <v>496</v>
      </c>
      <c r="V99" s="2"/>
      <c r="W99" s="1" t="s">
        <v>973</v>
      </c>
      <c r="X99" s="126" t="s">
        <v>1033</v>
      </c>
      <c r="Y99" s="124"/>
      <c r="Z99" s="125"/>
      <c r="AH99" s="127"/>
      <c r="AI99" s="128"/>
    </row>
    <row r="100" spans="1:35" x14ac:dyDescent="0.25">
      <c r="B100" s="1" t="s">
        <v>956</v>
      </c>
      <c r="I100" s="1" t="s">
        <v>678</v>
      </c>
      <c r="K100" s="1" t="s">
        <v>957</v>
      </c>
      <c r="M100" s="1" t="s">
        <v>958</v>
      </c>
      <c r="N100" s="118" t="s">
        <v>1002</v>
      </c>
      <c r="O100" s="120" t="s">
        <v>1015</v>
      </c>
      <c r="P100" s="139"/>
      <c r="Q100" s="122" t="s">
        <v>1017</v>
      </c>
      <c r="R100" s="140"/>
      <c r="S100" s="1" t="s">
        <v>496</v>
      </c>
      <c r="T100" s="2"/>
      <c r="U100" s="1" t="s">
        <v>496</v>
      </c>
      <c r="V100" s="2"/>
      <c r="W100" s="1" t="s">
        <v>973</v>
      </c>
      <c r="X100" s="126" t="s">
        <v>1033</v>
      </c>
      <c r="Y100" s="124"/>
      <c r="Z100" s="125"/>
      <c r="AA100" s="1" t="s">
        <v>996</v>
      </c>
      <c r="AC100" s="1" t="s">
        <v>3</v>
      </c>
      <c r="AE100" s="4" t="s">
        <v>976</v>
      </c>
      <c r="AH100" s="127"/>
      <c r="AI100" s="128"/>
    </row>
    <row r="101" spans="1:35" x14ac:dyDescent="0.25">
      <c r="B101" s="1" t="s">
        <v>959</v>
      </c>
      <c r="I101" s="1" t="s">
        <v>678</v>
      </c>
      <c r="K101" s="1" t="s">
        <v>960</v>
      </c>
      <c r="M101" s="1" t="s">
        <v>961</v>
      </c>
      <c r="N101" s="118" t="s">
        <v>1002</v>
      </c>
      <c r="O101" s="120" t="s">
        <v>1015</v>
      </c>
      <c r="P101" s="139"/>
      <c r="Q101" s="122" t="s">
        <v>1017</v>
      </c>
      <c r="R101" s="140"/>
      <c r="S101" s="1" t="s">
        <v>496</v>
      </c>
      <c r="T101" s="2"/>
      <c r="U101" s="1" t="s">
        <v>496</v>
      </c>
      <c r="V101" s="2"/>
      <c r="W101" s="1" t="s">
        <v>496</v>
      </c>
      <c r="X101" s="126" t="s">
        <v>1033</v>
      </c>
      <c r="Y101" s="124"/>
      <c r="Z101" s="125"/>
      <c r="AA101" s="1" t="s">
        <v>998</v>
      </c>
      <c r="AC101" s="1" t="s">
        <v>3</v>
      </c>
      <c r="AE101" s="4" t="s">
        <v>976</v>
      </c>
      <c r="AH101" s="127"/>
      <c r="AI101" s="128"/>
    </row>
    <row r="102" spans="1:35" x14ac:dyDescent="0.25">
      <c r="B102" s="1" t="s">
        <v>962</v>
      </c>
      <c r="I102" s="1" t="s">
        <v>678</v>
      </c>
      <c r="K102" s="1" t="s">
        <v>963</v>
      </c>
      <c r="M102" s="1" t="s">
        <v>964</v>
      </c>
      <c r="N102" s="118" t="s">
        <v>1013</v>
      </c>
      <c r="O102" s="120" t="s">
        <v>1015</v>
      </c>
      <c r="P102" s="139"/>
      <c r="Q102" s="122" t="s">
        <v>1017</v>
      </c>
      <c r="R102" s="140"/>
      <c r="S102" s="1" t="s">
        <v>496</v>
      </c>
      <c r="T102" s="2"/>
      <c r="U102" s="1" t="s">
        <v>496</v>
      </c>
      <c r="V102" s="2"/>
      <c r="W102" s="1" t="s">
        <v>496</v>
      </c>
      <c r="X102" s="126" t="s">
        <v>1033</v>
      </c>
      <c r="Y102" s="124"/>
      <c r="Z102" s="125"/>
      <c r="AA102" s="1" t="s">
        <v>999</v>
      </c>
      <c r="AC102" s="1" t="s">
        <v>3</v>
      </c>
      <c r="AE102" s="4" t="s">
        <v>976</v>
      </c>
      <c r="AH102" s="127"/>
      <c r="AI102" s="128"/>
    </row>
    <row r="103" spans="1:35" x14ac:dyDescent="0.25">
      <c r="B103" s="1" t="s">
        <v>965</v>
      </c>
      <c r="I103" s="1" t="s">
        <v>678</v>
      </c>
      <c r="K103" s="1" t="s">
        <v>966</v>
      </c>
      <c r="N103" s="118"/>
      <c r="O103" s="120"/>
      <c r="P103" s="139"/>
      <c r="Q103" s="122"/>
      <c r="R103" s="140"/>
      <c r="S103" s="1" t="s">
        <v>496</v>
      </c>
      <c r="T103" s="2"/>
      <c r="U103" s="1" t="s">
        <v>496</v>
      </c>
      <c r="V103" s="2"/>
      <c r="W103" s="1" t="s">
        <v>973</v>
      </c>
      <c r="X103" s="126"/>
      <c r="Y103" s="124"/>
      <c r="Z103" s="125"/>
      <c r="AH103" s="127"/>
      <c r="AI103" s="128"/>
    </row>
    <row r="104" spans="1:35" x14ac:dyDescent="0.25">
      <c r="B104" s="1" t="s">
        <v>967</v>
      </c>
      <c r="I104" s="1" t="s">
        <v>678</v>
      </c>
      <c r="K104" s="1" t="s">
        <v>968</v>
      </c>
      <c r="M104" s="1" t="s">
        <v>969</v>
      </c>
      <c r="N104" s="118" t="s">
        <v>1002</v>
      </c>
      <c r="O104" s="120" t="s">
        <v>1015</v>
      </c>
      <c r="P104" s="139"/>
      <c r="Q104" s="122" t="s">
        <v>1023</v>
      </c>
      <c r="R104" s="140"/>
      <c r="S104" s="1" t="s">
        <v>496</v>
      </c>
      <c r="T104" s="2"/>
      <c r="U104" s="1" t="s">
        <v>496</v>
      </c>
      <c r="V104" s="2"/>
      <c r="W104" s="1" t="s">
        <v>496</v>
      </c>
      <c r="X104" s="126" t="s">
        <v>1035</v>
      </c>
      <c r="Y104" s="124"/>
      <c r="Z104" s="125"/>
      <c r="AH104" s="127"/>
      <c r="AI104" s="128"/>
    </row>
    <row r="105" spans="1:35" x14ac:dyDescent="0.25">
      <c r="B105" s="1" t="s">
        <v>970</v>
      </c>
      <c r="I105" s="1" t="s">
        <v>678</v>
      </c>
      <c r="K105" s="1" t="s">
        <v>971</v>
      </c>
      <c r="M105" s="1" t="s">
        <v>972</v>
      </c>
      <c r="N105" s="118" t="s">
        <v>1002</v>
      </c>
      <c r="O105" s="120" t="s">
        <v>1015</v>
      </c>
      <c r="P105" s="139"/>
      <c r="Q105" s="122" t="s">
        <v>1024</v>
      </c>
      <c r="R105" s="140"/>
      <c r="S105" s="1" t="s">
        <v>496</v>
      </c>
      <c r="T105" s="2"/>
      <c r="U105" s="1" t="s">
        <v>496</v>
      </c>
      <c r="V105" s="2"/>
      <c r="W105" s="1" t="s">
        <v>973</v>
      </c>
      <c r="X105" s="126" t="s">
        <v>1035</v>
      </c>
      <c r="Y105" s="124"/>
      <c r="Z105" s="125"/>
      <c r="AH105" s="127"/>
      <c r="AI105" s="128"/>
    </row>
    <row r="106" spans="1:35" x14ac:dyDescent="0.25">
      <c r="A106" s="118"/>
      <c r="B106" s="119"/>
      <c r="C106" s="119"/>
      <c r="D106" s="118"/>
      <c r="E106" s="119"/>
      <c r="F106" s="118"/>
      <c r="G106" s="119"/>
      <c r="H106" s="118"/>
      <c r="I106" s="119"/>
      <c r="J106" s="118"/>
      <c r="K106" s="119"/>
      <c r="L106" s="118"/>
      <c r="M106" s="119"/>
      <c r="N106" s="118"/>
      <c r="O106" s="120"/>
      <c r="P106" s="139"/>
      <c r="Q106" s="140"/>
      <c r="R106" s="140"/>
      <c r="S106" s="119"/>
      <c r="T106" s="118"/>
      <c r="U106" s="119"/>
      <c r="V106" s="118"/>
      <c r="W106" s="119"/>
      <c r="X106" s="126"/>
      <c r="Y106" s="124"/>
      <c r="Z106" s="125"/>
      <c r="AH106" s="127"/>
      <c r="AI106" s="128"/>
    </row>
    <row r="107" spans="1:35" x14ac:dyDescent="0.25">
      <c r="O107" s="22"/>
      <c r="P107" s="20"/>
      <c r="Q107" s="25"/>
      <c r="R107" s="25"/>
      <c r="T107" s="2"/>
      <c r="V107" s="2"/>
    </row>
    <row r="108" spans="1:35" x14ac:dyDescent="0.25">
      <c r="O108" s="22"/>
      <c r="P108" s="20"/>
      <c r="Q108" s="25"/>
      <c r="R108" s="25"/>
      <c r="T108" s="2"/>
      <c r="V108" s="2"/>
    </row>
    <row r="109" spans="1:35" x14ac:dyDescent="0.25">
      <c r="O109" s="22"/>
      <c r="P109" s="20"/>
      <c r="Q109" s="25"/>
      <c r="R109" s="25"/>
      <c r="T109" s="2"/>
      <c r="V109" s="2"/>
    </row>
    <row r="110" spans="1:35" x14ac:dyDescent="0.25">
      <c r="O110" s="22"/>
      <c r="P110" s="20"/>
      <c r="Q110" s="25"/>
      <c r="R110" s="25"/>
      <c r="T110" s="2"/>
      <c r="V110" s="2"/>
    </row>
    <row r="111" spans="1:35" x14ac:dyDescent="0.25">
      <c r="O111" s="22"/>
      <c r="P111" s="20"/>
      <c r="Q111" s="25"/>
      <c r="R111" s="25"/>
      <c r="T111" s="2"/>
      <c r="V111" s="2"/>
    </row>
    <row r="112" spans="1:35" x14ac:dyDescent="0.25">
      <c r="O112" s="22"/>
      <c r="P112" s="20"/>
      <c r="Q112" s="25"/>
      <c r="R112" s="25"/>
      <c r="T112" s="2"/>
      <c r="V112" s="2"/>
    </row>
    <row r="113" spans="15:22" x14ac:dyDescent="0.25">
      <c r="O113" s="22"/>
      <c r="P113" s="20"/>
      <c r="Q113" s="25"/>
      <c r="R113" s="25"/>
      <c r="T113" s="2"/>
      <c r="V113" s="2"/>
    </row>
    <row r="114" spans="15:22" x14ac:dyDescent="0.25">
      <c r="O114" s="22"/>
      <c r="P114" s="20"/>
      <c r="Q114" s="25"/>
      <c r="R114" s="25"/>
      <c r="T114" s="2"/>
      <c r="V114" s="2"/>
    </row>
    <row r="115" spans="15:22" x14ac:dyDescent="0.25">
      <c r="O115" s="22"/>
      <c r="P115" s="20"/>
      <c r="Q115" s="25"/>
      <c r="R115" s="25"/>
      <c r="T115" s="2"/>
      <c r="V115" s="2"/>
    </row>
    <row r="116" spans="15:22" x14ac:dyDescent="0.25">
      <c r="O116" s="22"/>
      <c r="P116" s="20"/>
      <c r="Q116" s="25"/>
      <c r="R116" s="25"/>
      <c r="T116" s="2"/>
      <c r="V116" s="2"/>
    </row>
    <row r="117" spans="15:22" x14ac:dyDescent="0.25">
      <c r="O117" s="22"/>
      <c r="P117" s="20"/>
      <c r="Q117" s="25"/>
      <c r="R117" s="25"/>
      <c r="T117" s="2"/>
      <c r="V117" s="2"/>
    </row>
    <row r="118" spans="15:22" x14ac:dyDescent="0.25">
      <c r="O118" s="22"/>
      <c r="P118" s="20"/>
      <c r="Q118" s="25"/>
      <c r="R118" s="25"/>
      <c r="T118" s="2"/>
      <c r="V118" s="2"/>
    </row>
    <row r="119" spans="15:22" x14ac:dyDescent="0.25">
      <c r="O119" s="22"/>
      <c r="P119" s="20"/>
      <c r="Q119" s="25"/>
      <c r="R119" s="25"/>
      <c r="T119" s="2"/>
      <c r="V119" s="2"/>
    </row>
    <row r="120" spans="15:22" x14ac:dyDescent="0.25">
      <c r="O120" s="22"/>
      <c r="P120" s="20"/>
      <c r="Q120" s="25"/>
      <c r="R120" s="25"/>
      <c r="T120" s="2"/>
      <c r="V120" s="2"/>
    </row>
    <row r="121" spans="15:22" x14ac:dyDescent="0.25">
      <c r="O121" s="22"/>
      <c r="P121" s="20"/>
      <c r="Q121" s="25"/>
      <c r="R121" s="25"/>
      <c r="T121" s="2"/>
      <c r="V121" s="2"/>
    </row>
    <row r="122" spans="15:22" x14ac:dyDescent="0.25">
      <c r="O122" s="22"/>
      <c r="P122" s="20"/>
      <c r="Q122" s="25"/>
      <c r="R122" s="25"/>
      <c r="T122" s="2"/>
      <c r="V122" s="2"/>
    </row>
    <row r="123" spans="15:22" x14ac:dyDescent="0.25">
      <c r="O123" s="22"/>
      <c r="P123" s="20"/>
      <c r="Q123" s="25"/>
      <c r="R123" s="25"/>
      <c r="T123" s="2"/>
      <c r="V123" s="2"/>
    </row>
    <row r="124" spans="15:22" x14ac:dyDescent="0.25">
      <c r="O124" s="22"/>
      <c r="P124" s="20"/>
      <c r="Q124" s="25"/>
      <c r="R124" s="25"/>
      <c r="T124" s="2"/>
      <c r="V124" s="2"/>
    </row>
    <row r="125" spans="15:22" x14ac:dyDescent="0.25">
      <c r="O125" s="22"/>
      <c r="P125" s="20"/>
      <c r="Q125" s="25"/>
      <c r="R125" s="25"/>
      <c r="T125" s="2"/>
      <c r="V125" s="2"/>
    </row>
    <row r="126" spans="15:22" x14ac:dyDescent="0.25">
      <c r="O126" s="22"/>
      <c r="P126" s="20"/>
      <c r="Q126" s="25"/>
      <c r="R126" s="25"/>
      <c r="T126" s="2"/>
      <c r="V126" s="2"/>
    </row>
    <row r="127" spans="15:22" x14ac:dyDescent="0.25">
      <c r="O127" s="22"/>
      <c r="P127" s="20"/>
      <c r="Q127" s="25"/>
      <c r="R127" s="25"/>
      <c r="T127" s="2"/>
      <c r="V127" s="2"/>
    </row>
    <row r="128" spans="15:22" x14ac:dyDescent="0.25">
      <c r="O128" s="22"/>
      <c r="P128" s="20"/>
      <c r="Q128" s="25"/>
      <c r="R128" s="25"/>
      <c r="T128" s="2"/>
      <c r="V128" s="2"/>
    </row>
    <row r="129" spans="15:44" x14ac:dyDescent="0.25">
      <c r="O129" s="22"/>
      <c r="P129" s="20"/>
      <c r="Q129" s="25"/>
      <c r="R129" s="25"/>
      <c r="T129" s="2"/>
      <c r="V129" s="2"/>
    </row>
    <row r="130" spans="15:44" x14ac:dyDescent="0.25">
      <c r="O130" s="22"/>
      <c r="P130" s="20"/>
      <c r="Q130" s="25"/>
      <c r="R130" s="25"/>
      <c r="T130" s="2"/>
      <c r="V130" s="2"/>
    </row>
    <row r="131" spans="15:44" x14ac:dyDescent="0.25">
      <c r="O131" s="22"/>
      <c r="P131" s="20"/>
      <c r="Q131" s="25"/>
      <c r="R131" s="25"/>
      <c r="T131" s="2"/>
      <c r="V131" s="2"/>
    </row>
    <row r="132" spans="15:44" x14ac:dyDescent="0.25">
      <c r="O132" s="22"/>
      <c r="P132" s="20"/>
      <c r="Q132" s="25"/>
      <c r="R132" s="25"/>
      <c r="T132" s="2"/>
      <c r="V132" s="2"/>
    </row>
    <row r="133" spans="15:44" x14ac:dyDescent="0.25">
      <c r="O133" s="22"/>
      <c r="P133" s="20"/>
      <c r="Q133" s="25"/>
      <c r="R133" s="25"/>
      <c r="T133" s="2"/>
      <c r="V133" s="2"/>
    </row>
    <row r="134" spans="15:44" x14ac:dyDescent="0.25">
      <c r="O134" s="22"/>
      <c r="P134" s="20"/>
      <c r="Q134" s="25"/>
      <c r="R134" s="25"/>
      <c r="T134" s="2"/>
      <c r="V134" s="2"/>
    </row>
    <row r="135" spans="15:44" x14ac:dyDescent="0.25">
      <c r="O135" s="22"/>
      <c r="P135" s="20"/>
      <c r="Q135" s="25"/>
      <c r="R135" s="25"/>
      <c r="T135" s="2"/>
      <c r="V135" s="2"/>
      <c r="AJ135" s="23"/>
      <c r="AK135" s="23"/>
      <c r="AL135" s="23"/>
      <c r="AM135" s="16"/>
      <c r="AN135" s="16"/>
      <c r="AO135" s="16"/>
      <c r="AP135" s="16"/>
      <c r="AQ135" s="16"/>
      <c r="AR135" s="16"/>
    </row>
    <row r="136" spans="15:44" x14ac:dyDescent="0.25">
      <c r="O136" s="22"/>
      <c r="P136" s="20"/>
      <c r="Q136" s="25"/>
      <c r="R136" s="25"/>
      <c r="T136" s="2"/>
      <c r="V136" s="2"/>
      <c r="AJ136" s="23"/>
      <c r="AK136" s="23"/>
      <c r="AL136" s="23"/>
      <c r="AM136" s="16"/>
      <c r="AN136" s="16"/>
      <c r="AO136" s="16"/>
      <c r="AP136" s="16"/>
      <c r="AQ136" s="16"/>
      <c r="AR136" s="16"/>
    </row>
    <row r="137" spans="15:44" x14ac:dyDescent="0.25">
      <c r="O137" s="22"/>
      <c r="P137" s="20"/>
      <c r="Q137" s="25"/>
      <c r="R137" s="25"/>
      <c r="T137" s="2"/>
      <c r="V137" s="2"/>
    </row>
    <row r="138" spans="15:44" x14ac:dyDescent="0.25">
      <c r="O138" s="22"/>
      <c r="P138" s="20"/>
      <c r="Q138" s="25"/>
      <c r="R138" s="25"/>
      <c r="T138" s="2"/>
      <c r="V138" s="2"/>
    </row>
    <row r="139" spans="15:44" x14ac:dyDescent="0.25">
      <c r="O139" s="22"/>
      <c r="P139" s="20"/>
      <c r="Q139" s="25"/>
      <c r="R139" s="25"/>
      <c r="T139" s="2"/>
      <c r="V139" s="2"/>
    </row>
    <row r="140" spans="15:44" x14ac:dyDescent="0.25">
      <c r="O140" s="22"/>
      <c r="P140" s="20"/>
      <c r="Q140" s="25"/>
      <c r="R140" s="25"/>
      <c r="T140" s="2"/>
      <c r="V140" s="2"/>
    </row>
    <row r="141" spans="15:44" x14ac:dyDescent="0.25">
      <c r="O141" s="22"/>
      <c r="P141" s="20"/>
      <c r="Q141" s="25"/>
      <c r="R141" s="25"/>
      <c r="T141" s="2"/>
      <c r="V141" s="2"/>
    </row>
    <row r="142" spans="15:44" x14ac:dyDescent="0.25">
      <c r="O142" s="22"/>
      <c r="P142" s="20"/>
      <c r="Q142" s="25"/>
      <c r="R142" s="25"/>
      <c r="T142" s="2"/>
      <c r="V142" s="2"/>
    </row>
    <row r="143" spans="15:44" x14ac:dyDescent="0.25">
      <c r="O143" s="22"/>
      <c r="P143" s="20"/>
      <c r="Q143" s="25"/>
      <c r="R143" s="25"/>
      <c r="T143" s="2"/>
      <c r="V143" s="2"/>
    </row>
    <row r="144" spans="15:44" x14ac:dyDescent="0.25">
      <c r="O144" s="22"/>
      <c r="P144" s="20"/>
      <c r="Q144" s="25"/>
      <c r="R144" s="25"/>
      <c r="T144" s="2"/>
      <c r="V144" s="2"/>
    </row>
    <row r="145" spans="15:22" x14ac:dyDescent="0.25">
      <c r="O145" s="22"/>
      <c r="P145" s="20"/>
      <c r="Q145" s="25"/>
      <c r="R145" s="25"/>
      <c r="T145" s="2"/>
      <c r="V145" s="2"/>
    </row>
    <row r="146" spans="15:22" x14ac:dyDescent="0.25">
      <c r="O146" s="22"/>
      <c r="P146" s="20"/>
      <c r="Q146" s="25"/>
      <c r="R146" s="25"/>
      <c r="T146" s="2"/>
      <c r="V146" s="2"/>
    </row>
    <row r="147" spans="15:22" x14ac:dyDescent="0.25">
      <c r="O147" s="22"/>
      <c r="P147" s="20"/>
      <c r="Q147" s="25"/>
      <c r="R147" s="25"/>
      <c r="T147" s="2"/>
      <c r="V147" s="2"/>
    </row>
    <row r="148" spans="15:22" x14ac:dyDescent="0.25">
      <c r="O148" s="22"/>
      <c r="P148" s="20"/>
      <c r="Q148" s="25"/>
      <c r="R148" s="25"/>
      <c r="T148" s="2"/>
      <c r="V148" s="2"/>
    </row>
    <row r="149" spans="15:22" x14ac:dyDescent="0.25">
      <c r="O149" s="22"/>
      <c r="P149" s="20"/>
      <c r="Q149" s="25"/>
      <c r="R149" s="25"/>
      <c r="T149" s="2"/>
      <c r="V149" s="2"/>
    </row>
    <row r="150" spans="15:22" x14ac:dyDescent="0.25">
      <c r="O150" s="22"/>
      <c r="P150" s="20"/>
      <c r="Q150" s="25"/>
      <c r="R150" s="25"/>
      <c r="T150" s="2"/>
      <c r="V150" s="2"/>
    </row>
    <row r="151" spans="15:22" x14ac:dyDescent="0.25">
      <c r="O151" s="22"/>
      <c r="P151" s="20"/>
      <c r="Q151" s="25"/>
      <c r="R151" s="25"/>
      <c r="T151" s="2"/>
      <c r="V151" s="2"/>
    </row>
    <row r="152" spans="15:22" x14ac:dyDescent="0.25">
      <c r="O152" s="22"/>
      <c r="P152" s="20"/>
      <c r="Q152" s="25"/>
      <c r="R152" s="25"/>
      <c r="T152" s="2"/>
      <c r="V152" s="2"/>
    </row>
    <row r="153" spans="15:22" x14ac:dyDescent="0.25">
      <c r="O153" s="22"/>
      <c r="P153" s="20"/>
      <c r="Q153" s="25"/>
      <c r="R153" s="25"/>
      <c r="T153" s="2"/>
      <c r="V153" s="2"/>
    </row>
    <row r="154" spans="15:22" x14ac:dyDescent="0.25">
      <c r="O154" s="22"/>
      <c r="P154" s="20"/>
      <c r="Q154" s="25"/>
      <c r="R154" s="25"/>
      <c r="T154" s="2"/>
      <c r="V154" s="2"/>
    </row>
    <row r="155" spans="15:22" x14ac:dyDescent="0.25">
      <c r="O155" s="22"/>
      <c r="P155" s="20"/>
      <c r="Q155" s="25"/>
      <c r="R155" s="25"/>
      <c r="T155" s="2"/>
      <c r="V155" s="2"/>
    </row>
    <row r="156" spans="15:22" x14ac:dyDescent="0.25">
      <c r="O156" s="22"/>
      <c r="P156" s="20"/>
      <c r="Q156" s="25"/>
      <c r="R156" s="25"/>
      <c r="T156" s="2"/>
      <c r="V156" s="2"/>
    </row>
    <row r="157" spans="15:22" x14ac:dyDescent="0.25">
      <c r="O157" s="22"/>
      <c r="P157" s="20"/>
      <c r="Q157" s="25"/>
      <c r="R157" s="25"/>
      <c r="T157" s="2"/>
      <c r="V157" s="2"/>
    </row>
    <row r="158" spans="15:22" x14ac:dyDescent="0.25">
      <c r="O158" s="22"/>
      <c r="P158" s="20"/>
      <c r="Q158" s="25"/>
      <c r="R158" s="25"/>
      <c r="T158" s="2"/>
      <c r="V158" s="2"/>
    </row>
    <row r="159" spans="15:22" x14ac:dyDescent="0.25">
      <c r="O159" s="22"/>
      <c r="P159" s="20"/>
      <c r="Q159" s="25"/>
      <c r="R159" s="25"/>
      <c r="T159" s="2"/>
      <c r="V159" s="2"/>
    </row>
    <row r="160" spans="15:22" x14ac:dyDescent="0.25">
      <c r="O160" s="22"/>
      <c r="P160" s="20"/>
      <c r="Q160" s="25"/>
      <c r="R160" s="25"/>
      <c r="T160" s="2"/>
      <c r="V160" s="2"/>
    </row>
    <row r="161" spans="15:22" x14ac:dyDescent="0.25">
      <c r="O161" s="22"/>
      <c r="P161" s="20"/>
      <c r="Q161" s="25"/>
      <c r="R161" s="25"/>
      <c r="T161" s="2"/>
      <c r="V161" s="2"/>
    </row>
    <row r="162" spans="15:22" x14ac:dyDescent="0.25">
      <c r="O162" s="22"/>
      <c r="P162" s="20"/>
      <c r="Q162" s="25"/>
      <c r="R162" s="25"/>
      <c r="T162" s="2"/>
      <c r="V162" s="2"/>
    </row>
    <row r="163" spans="15:22" x14ac:dyDescent="0.25">
      <c r="O163" s="22"/>
      <c r="P163" s="20"/>
      <c r="Q163" s="25"/>
      <c r="R163" s="25"/>
      <c r="T163" s="2"/>
      <c r="V163" s="2"/>
    </row>
    <row r="164" spans="15:22" x14ac:dyDescent="0.25">
      <c r="O164" s="22"/>
      <c r="P164" s="20"/>
      <c r="Q164" s="25"/>
      <c r="R164" s="25"/>
      <c r="T164" s="2"/>
      <c r="V164" s="2"/>
    </row>
    <row r="165" spans="15:22" x14ac:dyDescent="0.25">
      <c r="O165" s="22"/>
      <c r="P165" s="20"/>
      <c r="Q165" s="25"/>
      <c r="R165" s="25"/>
      <c r="T165" s="2"/>
      <c r="V165" s="2"/>
    </row>
    <row r="166" spans="15:22" x14ac:dyDescent="0.25">
      <c r="O166" s="22"/>
      <c r="P166" s="20"/>
      <c r="Q166" s="25"/>
      <c r="R166" s="25"/>
      <c r="T166" s="2"/>
      <c r="V166" s="2"/>
    </row>
    <row r="167" spans="15:22" x14ac:dyDescent="0.25">
      <c r="O167" s="22"/>
      <c r="P167" s="20"/>
      <c r="Q167" s="25"/>
      <c r="R167" s="25"/>
      <c r="T167" s="2"/>
      <c r="V167" s="2"/>
    </row>
    <row r="168" spans="15:22" x14ac:dyDescent="0.25">
      <c r="O168" s="22"/>
      <c r="P168" s="20"/>
      <c r="Q168" s="25"/>
      <c r="R168" s="25"/>
      <c r="T168" s="2"/>
      <c r="V168" s="2"/>
    </row>
    <row r="169" spans="15:22" x14ac:dyDescent="0.25">
      <c r="O169" s="22"/>
      <c r="P169" s="20"/>
      <c r="Q169" s="25"/>
      <c r="R169" s="25"/>
      <c r="T169" s="2"/>
      <c r="V169" s="2"/>
    </row>
    <row r="170" spans="15:22" x14ac:dyDescent="0.25">
      <c r="O170" s="22"/>
      <c r="P170" s="20"/>
      <c r="Q170" s="25"/>
      <c r="R170" s="25"/>
      <c r="T170" s="2"/>
      <c r="V170" s="2"/>
    </row>
    <row r="171" spans="15:22" x14ac:dyDescent="0.25">
      <c r="O171" s="22"/>
      <c r="P171" s="20"/>
      <c r="Q171" s="25"/>
      <c r="R171" s="25"/>
      <c r="T171" s="2"/>
      <c r="V171" s="2"/>
    </row>
    <row r="172" spans="15:22" x14ac:dyDescent="0.25">
      <c r="O172" s="22"/>
      <c r="P172" s="20"/>
      <c r="Q172" s="25"/>
      <c r="R172" s="25"/>
      <c r="T172" s="2"/>
      <c r="V172" s="2"/>
    </row>
    <row r="173" spans="15:22" x14ac:dyDescent="0.25">
      <c r="O173" s="22"/>
      <c r="P173" s="20"/>
      <c r="Q173" s="25"/>
      <c r="R173" s="25"/>
      <c r="T173" s="2"/>
      <c r="V173" s="2"/>
    </row>
    <row r="174" spans="15:22" x14ac:dyDescent="0.25">
      <c r="O174" s="22"/>
      <c r="P174" s="20"/>
      <c r="Q174" s="25"/>
      <c r="R174" s="25"/>
      <c r="T174" s="2"/>
      <c r="V174" s="2"/>
    </row>
    <row r="175" spans="15:22" x14ac:dyDescent="0.25">
      <c r="O175" s="22"/>
      <c r="P175" s="20"/>
      <c r="Q175" s="25"/>
      <c r="R175" s="25"/>
      <c r="T175" s="2"/>
      <c r="V175" s="2"/>
    </row>
    <row r="176" spans="15:22" x14ac:dyDescent="0.25">
      <c r="O176" s="22"/>
      <c r="P176" s="20"/>
      <c r="Q176" s="25"/>
      <c r="R176" s="25"/>
      <c r="T176" s="2"/>
      <c r="V176" s="2"/>
    </row>
    <row r="177" spans="15:22" x14ac:dyDescent="0.25">
      <c r="O177" s="22"/>
      <c r="P177" s="20"/>
      <c r="Q177" s="25"/>
      <c r="R177" s="25"/>
      <c r="T177" s="2"/>
      <c r="V177" s="2"/>
    </row>
    <row r="178" spans="15:22" x14ac:dyDescent="0.25">
      <c r="O178" s="22"/>
      <c r="P178" s="20"/>
      <c r="Q178" s="25"/>
      <c r="R178" s="25"/>
      <c r="T178" s="2"/>
      <c r="V178" s="2"/>
    </row>
    <row r="179" spans="15:22" x14ac:dyDescent="0.25">
      <c r="O179" s="22"/>
      <c r="P179" s="20"/>
      <c r="Q179" s="25"/>
      <c r="R179" s="25"/>
      <c r="T179" s="2"/>
      <c r="V179" s="2"/>
    </row>
    <row r="180" spans="15:22" x14ac:dyDescent="0.25">
      <c r="O180" s="22"/>
      <c r="P180" s="20"/>
      <c r="Q180" s="25"/>
      <c r="R180" s="25"/>
      <c r="T180" s="2"/>
      <c r="V180" s="2"/>
    </row>
    <row r="181" spans="15:22" x14ac:dyDescent="0.25">
      <c r="O181" s="22"/>
      <c r="P181" s="20"/>
      <c r="Q181" s="25"/>
      <c r="R181" s="25"/>
      <c r="T181" s="2"/>
      <c r="V181" s="2"/>
    </row>
    <row r="182" spans="15:22" x14ac:dyDescent="0.25">
      <c r="O182" s="22"/>
      <c r="P182" s="20"/>
      <c r="Q182" s="25"/>
      <c r="R182" s="25"/>
      <c r="T182" s="2"/>
      <c r="V182" s="2"/>
    </row>
    <row r="183" spans="15:22" x14ac:dyDescent="0.25">
      <c r="O183" s="22"/>
      <c r="P183" s="20"/>
      <c r="Q183" s="25"/>
      <c r="R183" s="25"/>
      <c r="T183" s="2"/>
      <c r="V183" s="2"/>
    </row>
    <row r="184" spans="15:22" x14ac:dyDescent="0.25">
      <c r="O184" s="22"/>
      <c r="P184" s="20"/>
      <c r="Q184" s="25"/>
      <c r="R184" s="25"/>
      <c r="T184" s="2"/>
      <c r="V184" s="2"/>
    </row>
    <row r="185" spans="15:22" x14ac:dyDescent="0.25">
      <c r="O185" s="22"/>
      <c r="P185" s="20"/>
      <c r="Q185" s="25"/>
      <c r="R185" s="25"/>
      <c r="T185" s="2"/>
      <c r="V185" s="2"/>
    </row>
    <row r="186" spans="15:22" x14ac:dyDescent="0.25">
      <c r="O186" s="22"/>
      <c r="P186" s="20"/>
      <c r="Q186" s="25"/>
      <c r="R186" s="25"/>
      <c r="T186" s="2"/>
      <c r="V186" s="2"/>
    </row>
    <row r="187" spans="15:22" x14ac:dyDescent="0.25">
      <c r="O187" s="22"/>
      <c r="P187" s="20"/>
      <c r="Q187" s="25"/>
      <c r="R187" s="25"/>
      <c r="T187" s="2"/>
      <c r="V187" s="2"/>
    </row>
    <row r="188" spans="15:22" x14ac:dyDescent="0.25">
      <c r="O188" s="22"/>
      <c r="P188" s="20"/>
      <c r="Q188" s="25"/>
      <c r="R188" s="25"/>
      <c r="T188" s="2"/>
      <c r="V188" s="2"/>
    </row>
    <row r="189" spans="15:22" x14ac:dyDescent="0.25">
      <c r="O189" s="22"/>
      <c r="P189" s="20"/>
      <c r="Q189" s="25"/>
      <c r="R189" s="25"/>
      <c r="T189" s="2"/>
      <c r="V189" s="2"/>
    </row>
    <row r="190" spans="15:22" x14ac:dyDescent="0.25">
      <c r="O190" s="22"/>
      <c r="P190" s="20"/>
      <c r="Q190" s="25"/>
      <c r="R190" s="25"/>
      <c r="T190" s="2"/>
      <c r="V190" s="2"/>
    </row>
    <row r="191" spans="15:22" x14ac:dyDescent="0.25">
      <c r="O191" s="22"/>
      <c r="P191" s="20"/>
      <c r="Q191" s="25"/>
      <c r="R191" s="25"/>
      <c r="T191" s="2"/>
      <c r="V191" s="2"/>
    </row>
    <row r="192" spans="15:22" x14ac:dyDescent="0.25">
      <c r="O192" s="22"/>
      <c r="P192" s="20"/>
      <c r="Q192" s="25"/>
      <c r="R192" s="25"/>
      <c r="T192" s="2"/>
      <c r="V192" s="2"/>
    </row>
    <row r="193" spans="14:22" x14ac:dyDescent="0.25">
      <c r="O193" s="22"/>
      <c r="P193" s="20"/>
      <c r="Q193" s="25"/>
      <c r="R193" s="25"/>
      <c r="T193" s="2"/>
      <c r="V193" s="2"/>
    </row>
    <row r="194" spans="14:22" x14ac:dyDescent="0.25">
      <c r="O194" s="22"/>
      <c r="P194" s="20"/>
      <c r="Q194" s="25"/>
      <c r="R194" s="25"/>
      <c r="T194" s="2"/>
      <c r="V194" s="2"/>
    </row>
    <row r="195" spans="14:22" x14ac:dyDescent="0.25">
      <c r="O195" s="22"/>
      <c r="P195" s="20"/>
      <c r="Q195" s="25"/>
      <c r="R195" s="25"/>
      <c r="T195" s="2"/>
      <c r="V195" s="2"/>
    </row>
    <row r="196" spans="14:22" x14ac:dyDescent="0.25">
      <c r="O196" s="22"/>
      <c r="P196" s="20"/>
      <c r="Q196" s="25"/>
      <c r="R196" s="25"/>
      <c r="T196" s="2"/>
      <c r="V196" s="2"/>
    </row>
    <row r="197" spans="14:22" x14ac:dyDescent="0.25">
      <c r="O197" s="22"/>
      <c r="P197" s="20"/>
      <c r="Q197" s="25"/>
      <c r="R197" s="25"/>
      <c r="T197" s="2"/>
      <c r="V197" s="2"/>
    </row>
    <row r="198" spans="14:22" x14ac:dyDescent="0.25">
      <c r="O198" s="22"/>
      <c r="P198" s="20"/>
      <c r="Q198" s="25"/>
      <c r="R198" s="25"/>
      <c r="T198" s="2"/>
      <c r="V198" s="2"/>
    </row>
    <row r="199" spans="14:22" x14ac:dyDescent="0.25">
      <c r="O199" s="22"/>
      <c r="P199" s="20"/>
      <c r="Q199" s="25"/>
      <c r="R199" s="25"/>
      <c r="T199" s="2"/>
      <c r="V199" s="2"/>
    </row>
    <row r="200" spans="14:22" x14ac:dyDescent="0.25">
      <c r="O200" s="22"/>
      <c r="P200" s="20"/>
      <c r="Q200" s="25"/>
      <c r="R200" s="25"/>
      <c r="T200" s="2"/>
      <c r="V200" s="2"/>
    </row>
    <row r="201" spans="14:22" x14ac:dyDescent="0.25">
      <c r="O201" s="22"/>
      <c r="P201" s="20"/>
      <c r="Q201" s="25"/>
      <c r="R201" s="25"/>
      <c r="T201" s="2"/>
      <c r="V201" s="2"/>
    </row>
    <row r="202" spans="14:22" x14ac:dyDescent="0.25">
      <c r="O202" s="22"/>
      <c r="P202" s="20"/>
      <c r="Q202" s="25"/>
      <c r="R202" s="25"/>
      <c r="T202" s="2"/>
      <c r="V202" s="2"/>
    </row>
    <row r="203" spans="14:22" x14ac:dyDescent="0.25">
      <c r="O203" s="22"/>
      <c r="P203" s="20"/>
      <c r="Q203" s="25"/>
      <c r="R203" s="25"/>
      <c r="T203" s="2"/>
      <c r="V203" s="2"/>
    </row>
    <row r="204" spans="14:22" x14ac:dyDescent="0.25">
      <c r="O204" s="22"/>
      <c r="P204" s="20"/>
      <c r="Q204" s="25"/>
      <c r="R204" s="25"/>
      <c r="T204" s="2"/>
      <c r="V204" s="2"/>
    </row>
    <row r="205" spans="14:22" x14ac:dyDescent="0.25">
      <c r="O205" s="22"/>
      <c r="P205" s="20"/>
      <c r="Q205" s="25"/>
      <c r="R205" s="25"/>
      <c r="T205" s="2"/>
      <c r="V205" s="2"/>
    </row>
    <row r="206" spans="14:22" x14ac:dyDescent="0.25">
      <c r="N206" s="16"/>
      <c r="O206" s="22"/>
      <c r="P206" s="20"/>
      <c r="Q206" s="25"/>
      <c r="R206" s="25"/>
      <c r="T206" s="2"/>
      <c r="V206" s="2"/>
    </row>
    <row r="207" spans="14:22" x14ac:dyDescent="0.25">
      <c r="N207" s="16"/>
      <c r="O207" s="22"/>
      <c r="P207" s="20"/>
      <c r="Q207" s="25"/>
      <c r="R207" s="25"/>
      <c r="T207" s="2"/>
      <c r="V207" s="2"/>
    </row>
    <row r="208" spans="14:22" x14ac:dyDescent="0.25">
      <c r="N208" s="16"/>
      <c r="O208" s="22"/>
      <c r="P208" s="20"/>
      <c r="Q208" s="25"/>
      <c r="R208" s="25"/>
      <c r="T208" s="2"/>
      <c r="V208" s="2"/>
    </row>
    <row r="209" spans="14:35" x14ac:dyDescent="0.25">
      <c r="N209" s="16"/>
      <c r="O209" s="22"/>
      <c r="P209" s="20"/>
      <c r="Q209" s="25"/>
      <c r="R209" s="25"/>
      <c r="T209" s="2"/>
      <c r="V209" s="2"/>
    </row>
    <row r="210" spans="14:35" x14ac:dyDescent="0.25">
      <c r="N210" s="16"/>
      <c r="O210" s="22"/>
      <c r="P210" s="20"/>
      <c r="Q210" s="25"/>
      <c r="R210" s="25"/>
      <c r="T210" s="2"/>
      <c r="V210" s="2"/>
    </row>
    <row r="211" spans="14:35" x14ac:dyDescent="0.25">
      <c r="N211" s="16"/>
      <c r="O211" s="22"/>
      <c r="P211" s="20"/>
      <c r="Q211" s="25"/>
      <c r="R211" s="25"/>
      <c r="T211" s="2"/>
      <c r="V211" s="2"/>
    </row>
    <row r="212" spans="14:35" x14ac:dyDescent="0.25">
      <c r="N212" s="16"/>
      <c r="O212" s="22"/>
      <c r="P212" s="20"/>
      <c r="Q212" s="25"/>
      <c r="R212" s="25"/>
      <c r="T212" s="2"/>
      <c r="V212" s="2"/>
    </row>
    <row r="213" spans="14:35" x14ac:dyDescent="0.25">
      <c r="N213" s="16"/>
      <c r="O213" s="22"/>
      <c r="P213" s="20"/>
      <c r="Q213" s="25"/>
      <c r="R213" s="25"/>
      <c r="T213" s="2"/>
      <c r="V213" s="2"/>
      <c r="AI213" s="42"/>
    </row>
    <row r="214" spans="14:35" x14ac:dyDescent="0.25">
      <c r="N214" s="16"/>
      <c r="O214" s="22"/>
      <c r="P214" s="20"/>
      <c r="Q214" s="25"/>
      <c r="R214" s="25"/>
      <c r="T214" s="2"/>
      <c r="V214" s="2"/>
      <c r="AI214" s="42"/>
    </row>
    <row r="215" spans="14:35" x14ac:dyDescent="0.25">
      <c r="N215" s="16"/>
      <c r="O215" s="22"/>
      <c r="P215" s="20"/>
      <c r="Q215" s="25"/>
      <c r="R215" s="25"/>
      <c r="T215" s="2"/>
      <c r="V215" s="2"/>
    </row>
    <row r="216" spans="14:35" x14ac:dyDescent="0.25">
      <c r="N216" s="16"/>
      <c r="O216" s="22"/>
      <c r="P216" s="20"/>
      <c r="Q216" s="25"/>
      <c r="R216" s="25"/>
      <c r="T216" s="2"/>
      <c r="V216" s="2"/>
    </row>
    <row r="217" spans="14:35" x14ac:dyDescent="0.25">
      <c r="N217" s="16"/>
      <c r="O217" s="22"/>
      <c r="P217" s="20"/>
      <c r="Q217" s="25"/>
      <c r="R217" s="25"/>
      <c r="T217" s="2"/>
      <c r="V217" s="2"/>
    </row>
    <row r="218" spans="14:35" x14ac:dyDescent="0.25">
      <c r="N218" s="16"/>
      <c r="O218" s="22"/>
      <c r="P218" s="20"/>
      <c r="Q218" s="25"/>
      <c r="R218" s="25"/>
      <c r="T218" s="2"/>
      <c r="V218" s="2"/>
    </row>
    <row r="219" spans="14:35" x14ac:dyDescent="0.25">
      <c r="N219" s="16"/>
      <c r="O219" s="22"/>
      <c r="P219" s="20"/>
      <c r="Q219" s="25"/>
      <c r="R219" s="25"/>
      <c r="T219" s="2"/>
      <c r="V219" s="2"/>
    </row>
    <row r="220" spans="14:35" x14ac:dyDescent="0.25">
      <c r="N220" s="16"/>
      <c r="O220" s="22"/>
      <c r="P220" s="20"/>
      <c r="Q220" s="25"/>
      <c r="R220" s="25"/>
      <c r="T220" s="2"/>
      <c r="V220" s="2"/>
    </row>
    <row r="221" spans="14:35" x14ac:dyDescent="0.25">
      <c r="N221" s="16"/>
      <c r="O221" s="22"/>
      <c r="P221" s="20"/>
      <c r="Q221" s="25"/>
      <c r="R221" s="25"/>
      <c r="T221" s="2"/>
      <c r="V221" s="2"/>
    </row>
    <row r="222" spans="14:35" x14ac:dyDescent="0.25">
      <c r="N222" s="16"/>
      <c r="O222" s="22"/>
      <c r="P222" s="20"/>
      <c r="Q222" s="25"/>
      <c r="R222" s="25"/>
      <c r="T222" s="2"/>
      <c r="V222" s="2"/>
    </row>
    <row r="223" spans="14:35" x14ac:dyDescent="0.25">
      <c r="O223" s="22"/>
      <c r="P223" s="20"/>
      <c r="Q223" s="25"/>
      <c r="R223" s="25"/>
      <c r="T223" s="2"/>
      <c r="V223" s="2"/>
    </row>
    <row r="224" spans="14:35" x14ac:dyDescent="0.25">
      <c r="O224" s="22"/>
      <c r="P224" s="20"/>
      <c r="Q224" s="25"/>
      <c r="R224" s="25"/>
      <c r="T224" s="2"/>
      <c r="V224" s="2"/>
    </row>
    <row r="225" spans="15:22" x14ac:dyDescent="0.25">
      <c r="O225" s="22"/>
      <c r="P225" s="20"/>
      <c r="Q225" s="23"/>
      <c r="R225" s="25"/>
      <c r="T225" s="2"/>
      <c r="V225" s="2"/>
    </row>
    <row r="226" spans="15:22" x14ac:dyDescent="0.25">
      <c r="O226" s="22"/>
      <c r="Q226" s="10"/>
      <c r="R226" s="25"/>
      <c r="T226" s="2"/>
      <c r="V226" s="2"/>
    </row>
    <row r="227" spans="15:22" x14ac:dyDescent="0.25">
      <c r="O227" s="22"/>
      <c r="Q227" s="10"/>
      <c r="T227" s="2"/>
      <c r="V227" s="2"/>
    </row>
    <row r="228" spans="15:22" x14ac:dyDescent="0.25">
      <c r="O228" s="22"/>
      <c r="Q228" s="10"/>
      <c r="T228" s="2"/>
      <c r="V228" s="2"/>
    </row>
    <row r="229" spans="15:22" x14ac:dyDescent="0.25">
      <c r="O229" s="22"/>
      <c r="Q229" s="10"/>
      <c r="T229" s="2"/>
      <c r="V229" s="2"/>
    </row>
    <row r="230" spans="15:22" x14ac:dyDescent="0.25">
      <c r="O230" s="22"/>
      <c r="Q230" s="10"/>
      <c r="T230" s="2"/>
      <c r="V230" s="2"/>
    </row>
    <row r="231" spans="15:22" x14ac:dyDescent="0.25">
      <c r="O231" s="22"/>
      <c r="Q231" s="10"/>
      <c r="T231" s="2"/>
      <c r="V231" s="2"/>
    </row>
    <row r="232" spans="15:22" x14ac:dyDescent="0.25">
      <c r="O232" s="22"/>
      <c r="Q232" s="10"/>
      <c r="T232" s="2"/>
      <c r="V232" s="2"/>
    </row>
    <row r="233" spans="15:22" x14ac:dyDescent="0.25">
      <c r="O233" s="22"/>
      <c r="Q233" s="10"/>
      <c r="T233" s="2"/>
      <c r="V233" s="2"/>
    </row>
    <row r="234" spans="15:22" x14ac:dyDescent="0.25">
      <c r="O234" s="22"/>
      <c r="Q234" s="10"/>
      <c r="T234" s="2"/>
      <c r="V234" s="2"/>
    </row>
    <row r="235" spans="15:22" x14ac:dyDescent="0.25">
      <c r="O235" s="22"/>
      <c r="Q235" s="10"/>
      <c r="T235" s="2"/>
      <c r="V235" s="2"/>
    </row>
    <row r="236" spans="15:22" x14ac:dyDescent="0.25">
      <c r="O236" s="22"/>
      <c r="Q236" s="10"/>
      <c r="T236" s="2"/>
      <c r="V236" s="2"/>
    </row>
    <row r="237" spans="15:22" x14ac:dyDescent="0.25">
      <c r="O237" s="22"/>
      <c r="Q237" s="10"/>
      <c r="T237" s="2"/>
      <c r="V237" s="2"/>
    </row>
    <row r="238" spans="15:22" x14ac:dyDescent="0.25">
      <c r="O238" s="22"/>
      <c r="Q238" s="10"/>
      <c r="T238" s="2"/>
      <c r="V238" s="2"/>
    </row>
    <row r="239" spans="15:22" x14ac:dyDescent="0.25">
      <c r="O239" s="22"/>
      <c r="Q239" s="10"/>
      <c r="T239" s="2"/>
      <c r="V239" s="2"/>
    </row>
    <row r="240" spans="15:22" x14ac:dyDescent="0.25">
      <c r="O240" s="22"/>
      <c r="Q240" s="10"/>
      <c r="T240" s="2"/>
      <c r="V240" s="2"/>
    </row>
    <row r="241" spans="15:22" x14ac:dyDescent="0.25">
      <c r="O241" s="22"/>
      <c r="Q241" s="10"/>
      <c r="T241" s="2"/>
      <c r="V241" s="2"/>
    </row>
    <row r="242" spans="15:22" x14ac:dyDescent="0.25">
      <c r="O242" s="22"/>
      <c r="Q242" s="10"/>
      <c r="T242" s="2"/>
      <c r="V242" s="2"/>
    </row>
    <row r="243" spans="15:22" x14ac:dyDescent="0.25">
      <c r="O243" s="22"/>
      <c r="Q243" s="10"/>
      <c r="T243" s="2"/>
      <c r="V243" s="2"/>
    </row>
    <row r="244" spans="15:22" x14ac:dyDescent="0.25">
      <c r="O244" s="22"/>
      <c r="Q244" s="10"/>
      <c r="T244" s="2"/>
      <c r="V244" s="2"/>
    </row>
    <row r="245" spans="15:22" x14ac:dyDescent="0.25">
      <c r="O245" s="22"/>
      <c r="Q245" s="10"/>
      <c r="T245" s="2"/>
      <c r="V245" s="2"/>
    </row>
    <row r="246" spans="15:22" x14ac:dyDescent="0.25">
      <c r="O246" s="22"/>
      <c r="Q246" s="10"/>
      <c r="T246" s="2"/>
      <c r="V246" s="2"/>
    </row>
    <row r="247" spans="15:22" x14ac:dyDescent="0.25">
      <c r="O247" s="22"/>
      <c r="Q247" s="10"/>
      <c r="T247" s="2"/>
      <c r="V247" s="2"/>
    </row>
    <row r="248" spans="15:22" x14ac:dyDescent="0.25">
      <c r="O248" s="22"/>
      <c r="Q248" s="10"/>
      <c r="T248" s="2"/>
      <c r="V248" s="2"/>
    </row>
    <row r="249" spans="15:22" x14ac:dyDescent="0.25">
      <c r="O249" s="22"/>
      <c r="Q249" s="10"/>
      <c r="T249" s="2"/>
      <c r="V249" s="2"/>
    </row>
    <row r="250" spans="15:22" x14ac:dyDescent="0.25">
      <c r="O250" s="22"/>
      <c r="Q250" s="10"/>
      <c r="T250" s="2"/>
      <c r="V250" s="2"/>
    </row>
    <row r="251" spans="15:22" x14ac:dyDescent="0.25">
      <c r="O251" s="22"/>
      <c r="Q251" s="10"/>
      <c r="T251" s="2"/>
      <c r="V251" s="2"/>
    </row>
    <row r="252" spans="15:22" x14ac:dyDescent="0.25">
      <c r="O252" s="22"/>
      <c r="Q252" s="10"/>
      <c r="T252" s="2"/>
      <c r="V252" s="2"/>
    </row>
    <row r="253" spans="15:22" x14ac:dyDescent="0.25">
      <c r="O253" s="22"/>
      <c r="Q253" s="10"/>
      <c r="T253" s="2"/>
      <c r="V253" s="2"/>
    </row>
    <row r="254" spans="15:22" x14ac:dyDescent="0.25">
      <c r="O254" s="22"/>
      <c r="Q254" s="10"/>
      <c r="T254" s="2"/>
      <c r="V254" s="2"/>
    </row>
    <row r="255" spans="15:22" x14ac:dyDescent="0.25">
      <c r="O255" s="22"/>
      <c r="Q255" s="10"/>
      <c r="T255" s="2"/>
      <c r="V255" s="2"/>
    </row>
    <row r="256" spans="15:22" x14ac:dyDescent="0.25">
      <c r="O256" s="22"/>
      <c r="Q256" s="10"/>
      <c r="T256" s="2"/>
      <c r="V256" s="2"/>
    </row>
    <row r="257" spans="15:22" x14ac:dyDescent="0.25">
      <c r="O257" s="22"/>
      <c r="Q257" s="10"/>
      <c r="T257" s="2"/>
      <c r="V257" s="2"/>
    </row>
    <row r="258" spans="15:22" x14ac:dyDescent="0.25">
      <c r="O258" s="22"/>
      <c r="Q258" s="10"/>
      <c r="T258" s="2"/>
      <c r="V258" s="2"/>
    </row>
    <row r="259" spans="15:22" x14ac:dyDescent="0.25">
      <c r="O259" s="22"/>
      <c r="Q259" s="10"/>
      <c r="T259" s="2"/>
      <c r="V259" s="2"/>
    </row>
    <row r="260" spans="15:22" x14ac:dyDescent="0.25">
      <c r="O260" s="22"/>
      <c r="Q260" s="10"/>
      <c r="T260" s="2"/>
      <c r="V260" s="2"/>
    </row>
    <row r="261" spans="15:22" x14ac:dyDescent="0.25">
      <c r="O261" s="22"/>
      <c r="Q261" s="10"/>
      <c r="T261" s="2"/>
      <c r="V261" s="2"/>
    </row>
    <row r="262" spans="15:22" x14ac:dyDescent="0.25">
      <c r="O262" s="22"/>
      <c r="Q262" s="10"/>
      <c r="T262" s="2"/>
      <c r="V262" s="2"/>
    </row>
    <row r="263" spans="15:22" x14ac:dyDescent="0.25">
      <c r="O263" s="22"/>
      <c r="Q263" s="10"/>
      <c r="T263" s="2"/>
      <c r="V263" s="2"/>
    </row>
    <row r="264" spans="15:22" x14ac:dyDescent="0.25">
      <c r="O264" s="22"/>
      <c r="Q264" s="10"/>
      <c r="T264" s="2"/>
      <c r="V264" s="2"/>
    </row>
    <row r="265" spans="15:22" x14ac:dyDescent="0.25">
      <c r="O265" s="22"/>
      <c r="Q265" s="10"/>
      <c r="T265" s="2"/>
      <c r="V265" s="2"/>
    </row>
    <row r="266" spans="15:22" x14ac:dyDescent="0.25">
      <c r="O266" s="22"/>
      <c r="Q266" s="10"/>
      <c r="T266" s="2"/>
      <c r="V266" s="2"/>
    </row>
    <row r="267" spans="15:22" x14ac:dyDescent="0.25">
      <c r="O267" s="22"/>
      <c r="Q267" s="10"/>
      <c r="T267" s="2"/>
      <c r="V267" s="2"/>
    </row>
    <row r="268" spans="15:22" x14ac:dyDescent="0.25">
      <c r="O268" s="22"/>
      <c r="Q268" s="10"/>
      <c r="T268" s="2"/>
      <c r="V268" s="2"/>
    </row>
    <row r="269" spans="15:22" x14ac:dyDescent="0.25">
      <c r="O269" s="22"/>
      <c r="Q269" s="10"/>
      <c r="T269" s="2"/>
      <c r="V269" s="2"/>
    </row>
    <row r="270" spans="15:22" x14ac:dyDescent="0.25">
      <c r="O270" s="22"/>
      <c r="Q270" s="10"/>
      <c r="T270" s="2"/>
      <c r="V270" s="2"/>
    </row>
    <row r="271" spans="15:22" x14ac:dyDescent="0.25">
      <c r="O271" s="22"/>
      <c r="Q271" s="10"/>
      <c r="T271" s="2"/>
      <c r="V271" s="2"/>
    </row>
    <row r="272" spans="15:22" x14ac:dyDescent="0.25">
      <c r="O272" s="22"/>
      <c r="Q272" s="10"/>
      <c r="T272" s="2"/>
      <c r="V272" s="2"/>
    </row>
    <row r="273" spans="15:22" x14ac:dyDescent="0.25">
      <c r="O273" s="22"/>
      <c r="Q273" s="10"/>
      <c r="T273" s="2"/>
      <c r="V273" s="2"/>
    </row>
    <row r="274" spans="15:22" x14ac:dyDescent="0.25">
      <c r="O274" s="22"/>
      <c r="Q274" s="10"/>
      <c r="T274" s="2"/>
      <c r="V274" s="2"/>
    </row>
    <row r="275" spans="15:22" x14ac:dyDescent="0.25">
      <c r="O275" s="22"/>
      <c r="Q275" s="10"/>
      <c r="T275" s="2"/>
      <c r="V275" s="2"/>
    </row>
    <row r="276" spans="15:22" x14ac:dyDescent="0.25">
      <c r="O276" s="22"/>
      <c r="Q276" s="10"/>
      <c r="T276" s="2"/>
      <c r="V276" s="2"/>
    </row>
    <row r="277" spans="15:22" x14ac:dyDescent="0.25">
      <c r="O277" s="22"/>
      <c r="Q277" s="10"/>
      <c r="T277" s="2"/>
      <c r="V277" s="2"/>
    </row>
    <row r="278" spans="15:22" x14ac:dyDescent="0.25">
      <c r="O278" s="22"/>
      <c r="Q278" s="10"/>
      <c r="T278" s="2"/>
      <c r="V278" s="2"/>
    </row>
    <row r="279" spans="15:22" x14ac:dyDescent="0.25">
      <c r="O279" s="22"/>
      <c r="Q279" s="10"/>
      <c r="T279" s="2"/>
      <c r="V279" s="2"/>
    </row>
    <row r="280" spans="15:22" x14ac:dyDescent="0.25">
      <c r="O280" s="22"/>
      <c r="Q280" s="10"/>
      <c r="T280" s="2"/>
      <c r="V280" s="2"/>
    </row>
    <row r="281" spans="15:22" x14ac:dyDescent="0.25">
      <c r="O281" s="22"/>
      <c r="Q281" s="10"/>
      <c r="T281" s="2"/>
      <c r="V281" s="2"/>
    </row>
    <row r="282" spans="15:22" x14ac:dyDescent="0.25">
      <c r="O282" s="22"/>
      <c r="Q282" s="10"/>
      <c r="T282" s="2"/>
      <c r="V282" s="2"/>
    </row>
    <row r="283" spans="15:22" x14ac:dyDescent="0.25">
      <c r="O283" s="22"/>
      <c r="Q283" s="10"/>
      <c r="T283" s="2"/>
      <c r="V283" s="2"/>
    </row>
    <row r="284" spans="15:22" x14ac:dyDescent="0.25">
      <c r="O284" s="22"/>
      <c r="Q284" s="10"/>
      <c r="T284" s="2"/>
      <c r="V284" s="2"/>
    </row>
    <row r="285" spans="15:22" x14ac:dyDescent="0.25">
      <c r="O285" s="22"/>
      <c r="Q285" s="10"/>
      <c r="T285" s="2"/>
      <c r="V285" s="2"/>
    </row>
    <row r="286" spans="15:22" x14ac:dyDescent="0.25">
      <c r="O286" s="22"/>
      <c r="Q286" s="10"/>
      <c r="T286" s="2"/>
      <c r="V286" s="2"/>
    </row>
    <row r="287" spans="15:22" x14ac:dyDescent="0.25">
      <c r="O287" s="22"/>
      <c r="Q287" s="10"/>
      <c r="T287" s="2"/>
      <c r="V287" s="2"/>
    </row>
    <row r="288" spans="15:22" x14ac:dyDescent="0.25">
      <c r="O288" s="22"/>
      <c r="Q288" s="10"/>
      <c r="T288" s="2"/>
      <c r="V288" s="2"/>
    </row>
    <row r="289" spans="15:22" x14ac:dyDescent="0.25">
      <c r="O289" s="22"/>
      <c r="Q289" s="10"/>
      <c r="T289" s="2"/>
      <c r="V289" s="2"/>
    </row>
    <row r="290" spans="15:22" x14ac:dyDescent="0.25">
      <c r="O290" s="22"/>
      <c r="Q290" s="10"/>
      <c r="T290" s="2"/>
      <c r="V290" s="2"/>
    </row>
    <row r="291" spans="15:22" x14ac:dyDescent="0.25">
      <c r="O291" s="22"/>
      <c r="Q291" s="10"/>
      <c r="T291" s="2"/>
      <c r="V291" s="2"/>
    </row>
    <row r="292" spans="15:22" x14ac:dyDescent="0.25">
      <c r="O292" s="22"/>
      <c r="Q292" s="10"/>
      <c r="T292" s="2"/>
      <c r="V292" s="2"/>
    </row>
    <row r="293" spans="15:22" x14ac:dyDescent="0.25">
      <c r="O293" s="22"/>
      <c r="Q293" s="10"/>
      <c r="T293" s="2"/>
      <c r="V293" s="2"/>
    </row>
    <row r="294" spans="15:22" x14ac:dyDescent="0.25">
      <c r="O294" s="22"/>
      <c r="Q294" s="10"/>
      <c r="T294" s="2"/>
      <c r="V294" s="2"/>
    </row>
    <row r="295" spans="15:22" x14ac:dyDescent="0.25">
      <c r="O295" s="22"/>
      <c r="Q295" s="10"/>
      <c r="T295" s="2"/>
      <c r="V295" s="2"/>
    </row>
    <row r="296" spans="15:22" x14ac:dyDescent="0.25">
      <c r="O296" s="22"/>
      <c r="Q296" s="10"/>
      <c r="T296" s="2"/>
      <c r="V296" s="2"/>
    </row>
    <row r="297" spans="15:22" x14ac:dyDescent="0.25">
      <c r="O297" s="22"/>
      <c r="Q297" s="10"/>
      <c r="T297" s="2"/>
      <c r="V297" s="2"/>
    </row>
    <row r="298" spans="15:22" x14ac:dyDescent="0.25">
      <c r="O298" s="22"/>
      <c r="Q298" s="10"/>
      <c r="T298" s="2"/>
      <c r="V298" s="2"/>
    </row>
    <row r="299" spans="15:22" x14ac:dyDescent="0.25">
      <c r="O299" s="22"/>
      <c r="Q299" s="10"/>
      <c r="T299" s="2"/>
      <c r="V299" s="2"/>
    </row>
    <row r="300" spans="15:22" x14ac:dyDescent="0.25">
      <c r="O300" s="22"/>
      <c r="Q300" s="10"/>
      <c r="T300" s="2"/>
      <c r="V300" s="2"/>
    </row>
    <row r="301" spans="15:22" x14ac:dyDescent="0.25">
      <c r="O301" s="22"/>
      <c r="Q301" s="10"/>
      <c r="T301" s="2"/>
      <c r="V301" s="2"/>
    </row>
    <row r="302" spans="15:22" x14ac:dyDescent="0.25">
      <c r="O302" s="22"/>
      <c r="Q302" s="10"/>
      <c r="T302" s="2"/>
      <c r="V302" s="2"/>
    </row>
    <row r="303" spans="15:22" x14ac:dyDescent="0.25">
      <c r="O303" s="22"/>
      <c r="Q303" s="10"/>
      <c r="T303" s="2"/>
      <c r="V303" s="2"/>
    </row>
    <row r="304" spans="15:22" x14ac:dyDescent="0.25">
      <c r="O304" s="22"/>
      <c r="Q304" s="10"/>
      <c r="T304" s="2"/>
      <c r="V304" s="2"/>
    </row>
    <row r="305" spans="15:22" x14ac:dyDescent="0.25">
      <c r="O305" s="22"/>
      <c r="Q305" s="10"/>
      <c r="T305" s="2"/>
      <c r="V305" s="2"/>
    </row>
    <row r="306" spans="15:22" x14ac:dyDescent="0.25">
      <c r="O306" s="22"/>
      <c r="Q306" s="10"/>
      <c r="T306" s="2"/>
      <c r="V306" s="2"/>
    </row>
    <row r="307" spans="15:22" x14ac:dyDescent="0.25">
      <c r="O307" s="22"/>
      <c r="Q307" s="10"/>
      <c r="T307" s="2"/>
      <c r="V307" s="2"/>
    </row>
    <row r="308" spans="15:22" x14ac:dyDescent="0.25">
      <c r="O308" s="22"/>
      <c r="Q308" s="10"/>
      <c r="T308" s="2"/>
      <c r="V308" s="2"/>
    </row>
    <row r="309" spans="15:22" x14ac:dyDescent="0.25">
      <c r="O309" s="22"/>
      <c r="Q309" s="10"/>
      <c r="T309" s="2"/>
      <c r="V309" s="2"/>
    </row>
    <row r="310" spans="15:22" x14ac:dyDescent="0.25">
      <c r="O310" s="22"/>
      <c r="Q310" s="10"/>
      <c r="T310" s="2"/>
      <c r="V310" s="2"/>
    </row>
    <row r="311" spans="15:22" x14ac:dyDescent="0.25">
      <c r="O311" s="22"/>
      <c r="Q311" s="10"/>
      <c r="T311" s="2"/>
      <c r="V311" s="2"/>
    </row>
    <row r="312" spans="15:22" x14ac:dyDescent="0.25">
      <c r="O312" s="22"/>
      <c r="Q312" s="10"/>
      <c r="T312" s="2"/>
      <c r="V312" s="2"/>
    </row>
    <row r="313" spans="15:22" x14ac:dyDescent="0.25">
      <c r="O313" s="22"/>
      <c r="Q313" s="10"/>
      <c r="T313" s="2"/>
      <c r="V313" s="2"/>
    </row>
    <row r="314" spans="15:22" x14ac:dyDescent="0.25">
      <c r="O314" s="22"/>
      <c r="Q314" s="10"/>
      <c r="T314" s="2"/>
      <c r="V314" s="2"/>
    </row>
    <row r="315" spans="15:22" x14ac:dyDescent="0.25">
      <c r="O315" s="22"/>
      <c r="Q315" s="10"/>
      <c r="T315" s="2"/>
      <c r="V315" s="2"/>
    </row>
    <row r="316" spans="15:22" x14ac:dyDescent="0.25">
      <c r="O316" s="22"/>
      <c r="Q316" s="10"/>
      <c r="T316" s="2"/>
      <c r="V316" s="2"/>
    </row>
    <row r="317" spans="15:22" x14ac:dyDescent="0.25">
      <c r="O317" s="22"/>
      <c r="Q317" s="10"/>
      <c r="T317" s="2"/>
      <c r="V317" s="2"/>
    </row>
    <row r="318" spans="15:22" x14ac:dyDescent="0.25">
      <c r="O318" s="22"/>
      <c r="Q318" s="10"/>
      <c r="T318" s="2"/>
      <c r="V318" s="2"/>
    </row>
    <row r="319" spans="15:22" x14ac:dyDescent="0.25">
      <c r="O319" s="22"/>
      <c r="Q319" s="10"/>
      <c r="T319" s="2"/>
      <c r="V319" s="2"/>
    </row>
    <row r="320" spans="15:22" x14ac:dyDescent="0.25">
      <c r="O320" s="22"/>
      <c r="Q320" s="10"/>
      <c r="T320" s="2"/>
      <c r="V320" s="2"/>
    </row>
    <row r="321" spans="15:22" x14ac:dyDescent="0.25">
      <c r="O321" s="22"/>
      <c r="Q321" s="10"/>
      <c r="T321" s="2"/>
      <c r="V321" s="2"/>
    </row>
    <row r="322" spans="15:22" x14ac:dyDescent="0.25">
      <c r="O322" s="22"/>
      <c r="Q322" s="10"/>
      <c r="T322" s="2"/>
      <c r="V322" s="2"/>
    </row>
    <row r="323" spans="15:22" x14ac:dyDescent="0.25">
      <c r="O323" s="22"/>
      <c r="Q323" s="10"/>
      <c r="T323" s="2"/>
      <c r="V323" s="2"/>
    </row>
    <row r="324" spans="15:22" x14ac:dyDescent="0.25">
      <c r="O324" s="22"/>
      <c r="Q324" s="10"/>
      <c r="T324" s="2"/>
      <c r="V324" s="2"/>
    </row>
    <row r="325" spans="15:22" x14ac:dyDescent="0.25">
      <c r="O325" s="22"/>
      <c r="Q325" s="10"/>
      <c r="T325" s="2"/>
      <c r="V325" s="2"/>
    </row>
    <row r="326" spans="15:22" x14ac:dyDescent="0.25">
      <c r="O326" s="22"/>
      <c r="Q326" s="10"/>
      <c r="T326" s="2"/>
      <c r="V326" s="2"/>
    </row>
    <row r="327" spans="15:22" x14ac:dyDescent="0.25">
      <c r="O327" s="22"/>
      <c r="Q327" s="10"/>
      <c r="T327" s="2"/>
      <c r="V327" s="2"/>
    </row>
    <row r="328" spans="15:22" x14ac:dyDescent="0.25">
      <c r="O328" s="22"/>
      <c r="Q328" s="10"/>
      <c r="T328" s="2"/>
      <c r="V328" s="2"/>
    </row>
    <row r="329" spans="15:22" x14ac:dyDescent="0.25">
      <c r="O329" s="22"/>
      <c r="Q329" s="10"/>
      <c r="T329" s="2"/>
      <c r="V329" s="2"/>
    </row>
    <row r="330" spans="15:22" x14ac:dyDescent="0.25">
      <c r="O330" s="22"/>
      <c r="Q330" s="10"/>
      <c r="T330" s="2"/>
      <c r="V330" s="2"/>
    </row>
    <row r="331" spans="15:22" x14ac:dyDescent="0.25">
      <c r="O331" s="22"/>
      <c r="Q331" s="10"/>
      <c r="T331" s="2"/>
      <c r="V331" s="2"/>
    </row>
    <row r="332" spans="15:22" x14ac:dyDescent="0.25">
      <c r="O332" s="22"/>
      <c r="Q332" s="10"/>
      <c r="T332" s="2"/>
      <c r="V332" s="2"/>
    </row>
    <row r="333" spans="15:22" x14ac:dyDescent="0.25">
      <c r="O333" s="22"/>
      <c r="Q333" s="10"/>
      <c r="T333" s="2"/>
      <c r="V333" s="2"/>
    </row>
    <row r="334" spans="15:22" x14ac:dyDescent="0.25">
      <c r="O334" s="22"/>
      <c r="Q334" s="10"/>
      <c r="T334" s="2"/>
      <c r="V334" s="2"/>
    </row>
    <row r="335" spans="15:22" x14ac:dyDescent="0.25">
      <c r="O335" s="22"/>
      <c r="Q335" s="10"/>
      <c r="T335" s="2"/>
      <c r="V335" s="2"/>
    </row>
    <row r="336" spans="15:22" x14ac:dyDescent="0.25">
      <c r="O336" s="22"/>
      <c r="Q336" s="10"/>
      <c r="T336" s="2"/>
      <c r="V336" s="2"/>
    </row>
    <row r="337" spans="15:22" x14ac:dyDescent="0.25">
      <c r="O337" s="22"/>
      <c r="Q337" s="10"/>
      <c r="T337" s="2"/>
      <c r="V337" s="2"/>
    </row>
    <row r="338" spans="15:22" x14ac:dyDescent="0.25">
      <c r="O338" s="22"/>
      <c r="Q338" s="10"/>
      <c r="T338" s="2"/>
      <c r="V338" s="2"/>
    </row>
    <row r="339" spans="15:22" x14ac:dyDescent="0.25">
      <c r="O339" s="22"/>
      <c r="Q339" s="10"/>
      <c r="T339" s="2"/>
      <c r="V339" s="2"/>
    </row>
    <row r="340" spans="15:22" x14ac:dyDescent="0.25">
      <c r="O340" s="22"/>
      <c r="Q340" s="10"/>
      <c r="T340" s="2"/>
      <c r="V340" s="2"/>
    </row>
    <row r="341" spans="15:22" x14ac:dyDescent="0.25">
      <c r="O341" s="22"/>
      <c r="Q341" s="10"/>
      <c r="T341" s="2"/>
      <c r="V341" s="2"/>
    </row>
    <row r="342" spans="15:22" x14ac:dyDescent="0.25">
      <c r="O342" s="22"/>
      <c r="Q342" s="10"/>
      <c r="T342" s="2"/>
      <c r="V342" s="2"/>
    </row>
    <row r="343" spans="15:22" x14ac:dyDescent="0.25">
      <c r="O343" s="22"/>
      <c r="Q343" s="10"/>
      <c r="T343" s="2"/>
      <c r="V343" s="2"/>
    </row>
    <row r="344" spans="15:22" x14ac:dyDescent="0.25">
      <c r="O344" s="22"/>
      <c r="Q344" s="10"/>
      <c r="T344" s="2"/>
      <c r="V344" s="2"/>
    </row>
    <row r="345" spans="15:22" x14ac:dyDescent="0.25">
      <c r="O345" s="22"/>
      <c r="Q345" s="10"/>
      <c r="T345" s="2"/>
      <c r="V345" s="2"/>
    </row>
    <row r="346" spans="15:22" x14ac:dyDescent="0.25">
      <c r="O346" s="22"/>
      <c r="Q346" s="10"/>
      <c r="T346" s="2"/>
      <c r="V346" s="2"/>
    </row>
    <row r="347" spans="15:22" x14ac:dyDescent="0.25">
      <c r="O347" s="22"/>
      <c r="Q347" s="10"/>
      <c r="T347" s="2"/>
      <c r="V347" s="2"/>
    </row>
    <row r="348" spans="15:22" x14ac:dyDescent="0.25">
      <c r="O348" s="22"/>
      <c r="Q348" s="10"/>
      <c r="T348" s="2"/>
      <c r="V348" s="2"/>
    </row>
    <row r="349" spans="15:22" x14ac:dyDescent="0.25">
      <c r="O349" s="22"/>
      <c r="Q349" s="10"/>
      <c r="T349" s="2"/>
      <c r="V349" s="2"/>
    </row>
    <row r="350" spans="15:22" x14ac:dyDescent="0.25">
      <c r="O350" s="22"/>
      <c r="Q350" s="10"/>
      <c r="T350" s="2"/>
      <c r="V350" s="2"/>
    </row>
    <row r="351" spans="15:22" x14ac:dyDescent="0.25">
      <c r="O351" s="22"/>
      <c r="Q351" s="10"/>
      <c r="T351" s="2"/>
      <c r="V351" s="2"/>
    </row>
    <row r="352" spans="15:22" x14ac:dyDescent="0.25">
      <c r="O352" s="22"/>
      <c r="Q352" s="10"/>
      <c r="T352" s="2"/>
      <c r="V352" s="2"/>
    </row>
    <row r="353" spans="15:22" x14ac:dyDescent="0.25">
      <c r="O353" s="22"/>
      <c r="Q353" s="10"/>
      <c r="T353" s="2"/>
      <c r="V353" s="2"/>
    </row>
    <row r="354" spans="15:22" x14ac:dyDescent="0.25">
      <c r="O354" s="22"/>
      <c r="Q354" s="10"/>
      <c r="T354" s="2"/>
      <c r="V354" s="2"/>
    </row>
    <row r="355" spans="15:22" x14ac:dyDescent="0.25">
      <c r="O355" s="22"/>
      <c r="Q355" s="10"/>
      <c r="T355" s="2"/>
      <c r="V355" s="2"/>
    </row>
    <row r="356" spans="15:22" x14ac:dyDescent="0.25">
      <c r="O356" s="22"/>
      <c r="Q356" s="10"/>
      <c r="T356" s="2"/>
      <c r="V356" s="2"/>
    </row>
    <row r="357" spans="15:22" x14ac:dyDescent="0.25">
      <c r="O357" s="22"/>
      <c r="Q357" s="10"/>
      <c r="T357" s="2"/>
      <c r="V357" s="2"/>
    </row>
    <row r="358" spans="15:22" x14ac:dyDescent="0.25">
      <c r="O358" s="22"/>
      <c r="Q358" s="10"/>
      <c r="T358" s="2"/>
      <c r="V358" s="2"/>
    </row>
    <row r="359" spans="15:22" x14ac:dyDescent="0.25">
      <c r="O359" s="22"/>
      <c r="Q359" s="10"/>
      <c r="T359" s="2"/>
      <c r="V359" s="2"/>
    </row>
    <row r="360" spans="15:22" x14ac:dyDescent="0.25">
      <c r="O360" s="22"/>
      <c r="Q360" s="10"/>
      <c r="T360" s="2"/>
      <c r="V360" s="2"/>
    </row>
    <row r="361" spans="15:22" x14ac:dyDescent="0.25">
      <c r="O361" s="22"/>
      <c r="Q361" s="10"/>
      <c r="T361" s="2"/>
      <c r="V361" s="2"/>
    </row>
    <row r="362" spans="15:22" x14ac:dyDescent="0.25">
      <c r="O362" s="22"/>
      <c r="Q362" s="10"/>
      <c r="T362" s="2"/>
      <c r="V362" s="2"/>
    </row>
    <row r="363" spans="15:22" x14ac:dyDescent="0.25">
      <c r="O363" s="22"/>
      <c r="Q363" s="10"/>
      <c r="T363" s="2"/>
      <c r="V363" s="2"/>
    </row>
    <row r="364" spans="15:22" x14ac:dyDescent="0.25">
      <c r="O364" s="22"/>
      <c r="Q364" s="10"/>
      <c r="T364" s="2"/>
      <c r="V364" s="2"/>
    </row>
    <row r="365" spans="15:22" x14ac:dyDescent="0.25">
      <c r="O365" s="22"/>
      <c r="Q365" s="10"/>
      <c r="T365" s="2"/>
      <c r="V365" s="2"/>
    </row>
    <row r="366" spans="15:22" x14ac:dyDescent="0.25">
      <c r="O366" s="22"/>
      <c r="Q366" s="10"/>
      <c r="T366" s="2"/>
      <c r="V366" s="2"/>
    </row>
    <row r="367" spans="15:22" x14ac:dyDescent="0.25">
      <c r="O367" s="22"/>
      <c r="Q367" s="10"/>
      <c r="T367" s="2"/>
      <c r="V367" s="2"/>
    </row>
    <row r="368" spans="15:22" x14ac:dyDescent="0.25">
      <c r="O368" s="22"/>
      <c r="Q368" s="10"/>
      <c r="T368" s="2"/>
      <c r="V368" s="2"/>
    </row>
    <row r="369" spans="15:22" x14ac:dyDescent="0.25">
      <c r="O369" s="22"/>
      <c r="Q369" s="10"/>
      <c r="T369" s="2"/>
      <c r="V369" s="2"/>
    </row>
    <row r="370" spans="15:22" x14ac:dyDescent="0.25">
      <c r="O370" s="22"/>
      <c r="Q370" s="10"/>
      <c r="T370" s="2"/>
      <c r="V370" s="2"/>
    </row>
    <row r="371" spans="15:22" x14ac:dyDescent="0.25">
      <c r="O371" s="22"/>
      <c r="Q371" s="10"/>
      <c r="T371" s="2"/>
      <c r="V371" s="2"/>
    </row>
    <row r="372" spans="15:22" x14ac:dyDescent="0.25">
      <c r="O372" s="22"/>
      <c r="Q372" s="10"/>
      <c r="T372" s="2"/>
      <c r="V372" s="2"/>
    </row>
    <row r="373" spans="15:22" x14ac:dyDescent="0.25">
      <c r="O373" s="22"/>
      <c r="Q373" s="10"/>
      <c r="T373" s="2"/>
      <c r="V373" s="2"/>
    </row>
    <row r="374" spans="15:22" x14ac:dyDescent="0.25">
      <c r="O374" s="22"/>
      <c r="Q374" s="10"/>
      <c r="T374" s="2"/>
      <c r="V374" s="2"/>
    </row>
    <row r="375" spans="15:22" x14ac:dyDescent="0.25">
      <c r="O375" s="22"/>
      <c r="Q375" s="10"/>
      <c r="T375" s="2"/>
      <c r="V375" s="2"/>
    </row>
    <row r="376" spans="15:22" x14ac:dyDescent="0.25">
      <c r="O376" s="22"/>
      <c r="Q376" s="10"/>
      <c r="T376" s="2"/>
      <c r="V376" s="2"/>
    </row>
    <row r="377" spans="15:22" x14ac:dyDescent="0.25">
      <c r="O377" s="22"/>
      <c r="Q377" s="10"/>
      <c r="T377" s="2"/>
      <c r="V377" s="2"/>
    </row>
    <row r="378" spans="15:22" x14ac:dyDescent="0.25">
      <c r="O378" s="22"/>
      <c r="Q378" s="10"/>
      <c r="T378" s="2"/>
      <c r="V378" s="2"/>
    </row>
    <row r="379" spans="15:22" x14ac:dyDescent="0.25">
      <c r="O379" s="22"/>
      <c r="Q379" s="10"/>
      <c r="T379" s="2"/>
      <c r="V379" s="2"/>
    </row>
    <row r="380" spans="15:22" x14ac:dyDescent="0.25">
      <c r="O380" s="22"/>
      <c r="Q380" s="10"/>
      <c r="T380" s="2"/>
      <c r="V380" s="2"/>
    </row>
    <row r="381" spans="15:22" x14ac:dyDescent="0.25">
      <c r="O381" s="22"/>
      <c r="Q381" s="10"/>
      <c r="T381" s="2"/>
      <c r="V381" s="2"/>
    </row>
    <row r="382" spans="15:22" x14ac:dyDescent="0.25">
      <c r="O382" s="22"/>
      <c r="Q382" s="10"/>
      <c r="T382" s="2"/>
      <c r="V382" s="2"/>
    </row>
    <row r="383" spans="15:22" x14ac:dyDescent="0.25">
      <c r="O383" s="22"/>
      <c r="Q383" s="10"/>
      <c r="T383" s="2"/>
      <c r="V383" s="2"/>
    </row>
    <row r="384" spans="15:22" x14ac:dyDescent="0.25">
      <c r="O384" s="22"/>
      <c r="Q384" s="10"/>
      <c r="T384" s="2"/>
      <c r="V384" s="2"/>
    </row>
    <row r="385" spans="15:22" x14ac:dyDescent="0.25">
      <c r="O385" s="22"/>
      <c r="Q385" s="10"/>
      <c r="T385" s="2"/>
      <c r="V385" s="2"/>
    </row>
    <row r="386" spans="15:22" x14ac:dyDescent="0.25">
      <c r="O386" s="22"/>
      <c r="Q386" s="10"/>
      <c r="T386" s="2"/>
      <c r="V386" s="2"/>
    </row>
    <row r="387" spans="15:22" x14ac:dyDescent="0.25">
      <c r="O387" s="22"/>
      <c r="Q387" s="10"/>
      <c r="T387" s="2"/>
      <c r="V387" s="2"/>
    </row>
    <row r="388" spans="15:22" x14ac:dyDescent="0.25">
      <c r="O388" s="22"/>
      <c r="Q388" s="10"/>
      <c r="T388" s="2"/>
      <c r="V388" s="2"/>
    </row>
    <row r="389" spans="15:22" x14ac:dyDescent="0.25">
      <c r="O389" s="22"/>
      <c r="Q389" s="10"/>
      <c r="T389" s="2"/>
      <c r="V389" s="2"/>
    </row>
    <row r="390" spans="15:22" x14ac:dyDescent="0.25">
      <c r="O390" s="22"/>
      <c r="Q390" s="10"/>
      <c r="T390" s="2"/>
      <c r="V390" s="2"/>
    </row>
    <row r="391" spans="15:22" x14ac:dyDescent="0.25">
      <c r="O391" s="22"/>
      <c r="Q391" s="10"/>
      <c r="T391" s="2"/>
      <c r="V391" s="2"/>
    </row>
    <row r="392" spans="15:22" x14ac:dyDescent="0.25">
      <c r="O392" s="22"/>
      <c r="Q392" s="10"/>
      <c r="T392" s="2"/>
      <c r="V392" s="2"/>
    </row>
    <row r="393" spans="15:22" x14ac:dyDescent="0.25">
      <c r="O393" s="22"/>
      <c r="Q393" s="10"/>
      <c r="T393" s="2"/>
      <c r="V393" s="2"/>
    </row>
    <row r="394" spans="15:22" x14ac:dyDescent="0.25">
      <c r="O394" s="22"/>
      <c r="Q394" s="10"/>
      <c r="T394" s="2"/>
      <c r="V394" s="2"/>
    </row>
    <row r="395" spans="15:22" x14ac:dyDescent="0.25">
      <c r="O395" s="22"/>
      <c r="Q395" s="10"/>
      <c r="T395" s="2"/>
      <c r="V395" s="2"/>
    </row>
    <row r="396" spans="15:22" x14ac:dyDescent="0.25">
      <c r="O396" s="22"/>
      <c r="Q396" s="10"/>
      <c r="T396" s="2"/>
      <c r="V396" s="2"/>
    </row>
    <row r="397" spans="15:22" x14ac:dyDescent="0.25">
      <c r="O397" s="22"/>
      <c r="Q397" s="10"/>
      <c r="T397" s="2"/>
      <c r="V397" s="2"/>
    </row>
    <row r="398" spans="15:22" x14ac:dyDescent="0.25">
      <c r="O398" s="22"/>
      <c r="Q398" s="10"/>
      <c r="T398" s="2"/>
      <c r="V398" s="2"/>
    </row>
    <row r="399" spans="15:22" x14ac:dyDescent="0.25">
      <c r="O399" s="22"/>
      <c r="Q399" s="10"/>
      <c r="T399" s="2"/>
      <c r="V399" s="2"/>
    </row>
    <row r="400" spans="15:22" x14ac:dyDescent="0.25">
      <c r="O400" s="22"/>
      <c r="Q400" s="10"/>
      <c r="T400" s="2"/>
      <c r="V400" s="2"/>
    </row>
    <row r="401" spans="15:22" x14ac:dyDescent="0.25">
      <c r="O401" s="22"/>
      <c r="Q401" s="10"/>
      <c r="T401" s="2"/>
      <c r="V401" s="2"/>
    </row>
    <row r="402" spans="15:22" x14ac:dyDescent="0.25">
      <c r="O402" s="22"/>
      <c r="Q402" s="10"/>
      <c r="T402" s="2"/>
      <c r="V402" s="2"/>
    </row>
    <row r="403" spans="15:22" x14ac:dyDescent="0.25">
      <c r="O403" s="22"/>
      <c r="Q403" s="10"/>
      <c r="T403" s="2"/>
      <c r="V403" s="2"/>
    </row>
    <row r="404" spans="15:22" x14ac:dyDescent="0.25">
      <c r="O404" s="22"/>
      <c r="Q404" s="10"/>
      <c r="T404" s="2"/>
      <c r="V404" s="2"/>
    </row>
    <row r="405" spans="15:22" x14ac:dyDescent="0.25">
      <c r="O405" s="22"/>
      <c r="Q405" s="10"/>
      <c r="T405" s="2"/>
      <c r="V405" s="2"/>
    </row>
    <row r="406" spans="15:22" x14ac:dyDescent="0.25">
      <c r="O406" s="22"/>
      <c r="Q406" s="10"/>
      <c r="T406" s="2"/>
      <c r="V406" s="2"/>
    </row>
    <row r="407" spans="15:22" x14ac:dyDescent="0.25">
      <c r="O407" s="22"/>
      <c r="Q407" s="10"/>
      <c r="T407" s="2"/>
      <c r="V407" s="2"/>
    </row>
    <row r="408" spans="15:22" x14ac:dyDescent="0.25">
      <c r="O408" s="22"/>
      <c r="Q408" s="10"/>
      <c r="T408" s="2"/>
      <c r="V408" s="2"/>
    </row>
    <row r="409" spans="15:22" x14ac:dyDescent="0.25">
      <c r="O409" s="22"/>
      <c r="Q409" s="10"/>
      <c r="T409" s="2"/>
      <c r="V409" s="2"/>
    </row>
    <row r="410" spans="15:22" x14ac:dyDescent="0.25">
      <c r="O410" s="22"/>
      <c r="Q410" s="10"/>
      <c r="T410" s="2"/>
      <c r="V410" s="2"/>
    </row>
    <row r="411" spans="15:22" x14ac:dyDescent="0.25">
      <c r="O411" s="22"/>
      <c r="Q411" s="10"/>
      <c r="T411" s="2"/>
      <c r="V411" s="2"/>
    </row>
    <row r="412" spans="15:22" x14ac:dyDescent="0.25">
      <c r="O412" s="22"/>
      <c r="Q412" s="10"/>
      <c r="T412" s="2"/>
      <c r="V412" s="2"/>
    </row>
    <row r="413" spans="15:22" x14ac:dyDescent="0.25">
      <c r="O413" s="22"/>
      <c r="Q413" s="10"/>
      <c r="T413" s="2"/>
      <c r="V413" s="2"/>
    </row>
    <row r="414" spans="15:22" x14ac:dyDescent="0.25">
      <c r="O414" s="22"/>
      <c r="Q414" s="10"/>
      <c r="T414" s="2"/>
      <c r="V414" s="2"/>
    </row>
    <row r="415" spans="15:22" x14ac:dyDescent="0.25">
      <c r="O415" s="22"/>
      <c r="Q415" s="10"/>
      <c r="T415" s="2"/>
      <c r="V415" s="2"/>
    </row>
    <row r="416" spans="15:22" x14ac:dyDescent="0.25">
      <c r="O416" s="22"/>
      <c r="Q416" s="10"/>
      <c r="T416" s="2"/>
      <c r="V416" s="2"/>
    </row>
    <row r="417" spans="15:22" x14ac:dyDescent="0.25">
      <c r="O417" s="22"/>
      <c r="Q417" s="10"/>
      <c r="T417" s="2"/>
      <c r="V417" s="2"/>
    </row>
    <row r="418" spans="15:22" x14ac:dyDescent="0.25">
      <c r="O418" s="22"/>
      <c r="Q418" s="10"/>
      <c r="T418" s="2"/>
      <c r="V418" s="2"/>
    </row>
    <row r="419" spans="15:22" x14ac:dyDescent="0.25">
      <c r="O419" s="22"/>
      <c r="Q419" s="10"/>
      <c r="T419" s="2"/>
      <c r="V419" s="2"/>
    </row>
    <row r="420" spans="15:22" x14ac:dyDescent="0.25">
      <c r="O420" s="22"/>
      <c r="Q420" s="10"/>
      <c r="T420" s="2"/>
      <c r="V420" s="2"/>
    </row>
    <row r="421" spans="15:22" x14ac:dyDescent="0.25">
      <c r="O421" s="22"/>
      <c r="Q421" s="10"/>
      <c r="T421" s="2"/>
      <c r="V421" s="2"/>
    </row>
    <row r="422" spans="15:22" x14ac:dyDescent="0.25">
      <c r="O422" s="22"/>
      <c r="Q422" s="10"/>
      <c r="T422" s="2"/>
      <c r="V422" s="2"/>
    </row>
    <row r="423" spans="15:22" x14ac:dyDescent="0.25">
      <c r="O423" s="22"/>
      <c r="Q423" s="10"/>
      <c r="T423" s="2"/>
      <c r="V423" s="2"/>
    </row>
    <row r="424" spans="15:22" x14ac:dyDescent="0.25">
      <c r="O424" s="22"/>
      <c r="Q424" s="10"/>
      <c r="T424" s="2"/>
      <c r="V424" s="2"/>
    </row>
    <row r="425" spans="15:22" x14ac:dyDescent="0.25">
      <c r="O425" s="22"/>
      <c r="Q425" s="10"/>
      <c r="T425" s="2"/>
      <c r="V425" s="2"/>
    </row>
    <row r="426" spans="15:22" x14ac:dyDescent="0.25">
      <c r="O426" s="22"/>
      <c r="Q426" s="10"/>
      <c r="T426" s="2"/>
      <c r="V426" s="2"/>
    </row>
    <row r="427" spans="15:22" x14ac:dyDescent="0.25">
      <c r="O427" s="22"/>
      <c r="Q427" s="10"/>
      <c r="T427" s="2"/>
      <c r="V427" s="2"/>
    </row>
    <row r="428" spans="15:22" x14ac:dyDescent="0.25">
      <c r="O428" s="22"/>
      <c r="Q428" s="10"/>
      <c r="T428" s="2"/>
      <c r="V428" s="2"/>
    </row>
    <row r="429" spans="15:22" x14ac:dyDescent="0.25">
      <c r="O429" s="22"/>
      <c r="Q429" s="10"/>
      <c r="T429" s="2"/>
      <c r="V429" s="2"/>
    </row>
    <row r="430" spans="15:22" x14ac:dyDescent="0.25">
      <c r="O430" s="22"/>
      <c r="Q430" s="10"/>
      <c r="T430" s="2"/>
      <c r="V430" s="2"/>
    </row>
    <row r="431" spans="15:22" x14ac:dyDescent="0.25">
      <c r="O431" s="22"/>
      <c r="Q431" s="10"/>
      <c r="T431" s="2"/>
      <c r="V431" s="2"/>
    </row>
    <row r="432" spans="15:22" x14ac:dyDescent="0.25">
      <c r="O432" s="22"/>
      <c r="Q432" s="10"/>
      <c r="T432" s="2"/>
      <c r="V432" s="2"/>
    </row>
    <row r="433" spans="15:22" x14ac:dyDescent="0.25">
      <c r="O433" s="22"/>
      <c r="Q433" s="10"/>
      <c r="T433" s="2"/>
      <c r="V433" s="2"/>
    </row>
    <row r="434" spans="15:22" x14ac:dyDescent="0.25">
      <c r="O434" s="22"/>
      <c r="Q434" s="10"/>
      <c r="T434" s="2"/>
      <c r="V434" s="2"/>
    </row>
    <row r="435" spans="15:22" x14ac:dyDescent="0.25">
      <c r="O435" s="22"/>
      <c r="Q435" s="10"/>
      <c r="T435" s="2"/>
      <c r="V435" s="2"/>
    </row>
    <row r="436" spans="15:22" x14ac:dyDescent="0.25">
      <c r="O436" s="22"/>
      <c r="Q436" s="10"/>
      <c r="T436" s="2"/>
      <c r="V436" s="2"/>
    </row>
    <row r="437" spans="15:22" x14ac:dyDescent="0.25">
      <c r="O437" s="22"/>
      <c r="Q437" s="10"/>
      <c r="T437" s="2"/>
      <c r="V437" s="2"/>
    </row>
    <row r="438" spans="15:22" x14ac:dyDescent="0.25">
      <c r="O438" s="22"/>
      <c r="Q438" s="10"/>
      <c r="T438" s="2"/>
      <c r="V438" s="2"/>
    </row>
    <row r="439" spans="15:22" x14ac:dyDescent="0.25">
      <c r="O439" s="22"/>
      <c r="Q439" s="10"/>
      <c r="T439" s="2"/>
      <c r="V439" s="2"/>
    </row>
    <row r="440" spans="15:22" x14ac:dyDescent="0.25">
      <c r="O440" s="22"/>
      <c r="Q440" s="10"/>
      <c r="T440" s="2"/>
      <c r="V440" s="2"/>
    </row>
    <row r="441" spans="15:22" x14ac:dyDescent="0.25">
      <c r="O441" s="22"/>
      <c r="Q441" s="10"/>
      <c r="T441" s="2"/>
      <c r="V441" s="2"/>
    </row>
    <row r="442" spans="15:22" x14ac:dyDescent="0.25">
      <c r="O442" s="22"/>
      <c r="Q442" s="10"/>
      <c r="T442" s="2"/>
      <c r="V442" s="2"/>
    </row>
    <row r="443" spans="15:22" x14ac:dyDescent="0.25">
      <c r="O443" s="22"/>
      <c r="Q443" s="10"/>
      <c r="T443" s="2"/>
      <c r="V443" s="2"/>
    </row>
    <row r="444" spans="15:22" x14ac:dyDescent="0.25">
      <c r="O444" s="22"/>
      <c r="Q444" s="10"/>
      <c r="T444" s="2"/>
      <c r="V444" s="2"/>
    </row>
    <row r="445" spans="15:22" x14ac:dyDescent="0.25">
      <c r="O445" s="22"/>
      <c r="Q445" s="10"/>
      <c r="T445" s="2"/>
      <c r="V445" s="2"/>
    </row>
    <row r="446" spans="15:22" x14ac:dyDescent="0.25">
      <c r="O446" s="22"/>
      <c r="Q446" s="10"/>
      <c r="T446" s="2"/>
      <c r="V446" s="2"/>
    </row>
    <row r="447" spans="15:22" x14ac:dyDescent="0.25">
      <c r="O447" s="22"/>
      <c r="Q447" s="10"/>
      <c r="T447" s="2"/>
      <c r="V447" s="2"/>
    </row>
    <row r="448" spans="15:22" x14ac:dyDescent="0.25">
      <c r="O448" s="22"/>
      <c r="Q448" s="10"/>
      <c r="T448" s="2"/>
      <c r="V448" s="2"/>
    </row>
    <row r="449" spans="15:22" x14ac:dyDescent="0.25">
      <c r="O449" s="22"/>
      <c r="Q449" s="10"/>
      <c r="T449" s="2"/>
      <c r="V449" s="2"/>
    </row>
    <row r="450" spans="15:22" x14ac:dyDescent="0.25">
      <c r="O450" s="22"/>
      <c r="Q450" s="10"/>
      <c r="T450" s="2"/>
      <c r="V450" s="2"/>
    </row>
    <row r="451" spans="15:22" x14ac:dyDescent="0.25">
      <c r="O451" s="22"/>
      <c r="Q451" s="10"/>
      <c r="T451" s="2"/>
      <c r="V451" s="2"/>
    </row>
    <row r="452" spans="15:22" x14ac:dyDescent="0.25">
      <c r="O452" s="22"/>
      <c r="Q452" s="10"/>
      <c r="T452" s="2"/>
      <c r="V452" s="2"/>
    </row>
    <row r="453" spans="15:22" x14ac:dyDescent="0.25">
      <c r="O453" s="22"/>
      <c r="Q453" s="10"/>
      <c r="T453" s="2"/>
      <c r="V453" s="2"/>
    </row>
    <row r="454" spans="15:22" x14ac:dyDescent="0.25">
      <c r="O454" s="22"/>
      <c r="Q454" s="10"/>
      <c r="T454" s="2"/>
      <c r="V454" s="2"/>
    </row>
    <row r="455" spans="15:22" x14ac:dyDescent="0.25">
      <c r="O455" s="22"/>
      <c r="Q455" s="10"/>
      <c r="T455" s="2"/>
      <c r="V455" s="2"/>
    </row>
    <row r="456" spans="15:22" x14ac:dyDescent="0.25">
      <c r="O456" s="22"/>
      <c r="Q456" s="10"/>
      <c r="T456" s="2"/>
      <c r="V456" s="2"/>
    </row>
    <row r="457" spans="15:22" x14ac:dyDescent="0.25">
      <c r="O457" s="22"/>
      <c r="Q457" s="10"/>
      <c r="T457" s="2"/>
      <c r="V457" s="2"/>
    </row>
    <row r="458" spans="15:22" x14ac:dyDescent="0.25">
      <c r="O458" s="22"/>
      <c r="Q458" s="10"/>
      <c r="T458" s="2"/>
      <c r="V458" s="2"/>
    </row>
    <row r="459" spans="15:22" x14ac:dyDescent="0.25">
      <c r="O459" s="22"/>
      <c r="Q459" s="10"/>
      <c r="T459" s="2"/>
      <c r="V459" s="2"/>
    </row>
    <row r="460" spans="15:22" x14ac:dyDescent="0.25">
      <c r="O460" s="22"/>
      <c r="Q460" s="10"/>
      <c r="T460" s="2"/>
      <c r="V460" s="2"/>
    </row>
    <row r="461" spans="15:22" x14ac:dyDescent="0.25">
      <c r="O461" s="22"/>
      <c r="Q461" s="10"/>
      <c r="T461" s="2"/>
      <c r="V461" s="2"/>
    </row>
    <row r="462" spans="15:22" x14ac:dyDescent="0.25">
      <c r="O462" s="22"/>
      <c r="Q462" s="10"/>
      <c r="T462" s="2"/>
      <c r="V462" s="2"/>
    </row>
    <row r="463" spans="15:22" x14ac:dyDescent="0.25">
      <c r="O463" s="22"/>
      <c r="Q463" s="10"/>
      <c r="T463" s="2"/>
      <c r="V463" s="2"/>
    </row>
    <row r="464" spans="15:22" x14ac:dyDescent="0.25">
      <c r="O464" s="22"/>
      <c r="Q464" s="10"/>
      <c r="T464" s="2"/>
      <c r="V464" s="2"/>
    </row>
    <row r="465" spans="15:22" x14ac:dyDescent="0.25">
      <c r="O465" s="22"/>
      <c r="Q465" s="10"/>
      <c r="T465" s="2"/>
      <c r="V465" s="2"/>
    </row>
    <row r="466" spans="15:22" x14ac:dyDescent="0.25">
      <c r="O466" s="22"/>
      <c r="Q466" s="10"/>
      <c r="T466" s="2"/>
      <c r="V466" s="2"/>
    </row>
    <row r="467" spans="15:22" x14ac:dyDescent="0.25">
      <c r="O467" s="22"/>
      <c r="Q467" s="10"/>
      <c r="T467" s="2"/>
      <c r="V467" s="2"/>
    </row>
    <row r="468" spans="15:22" x14ac:dyDescent="0.25">
      <c r="O468" s="22"/>
      <c r="Q468" s="10"/>
      <c r="T468" s="2"/>
      <c r="V468" s="2"/>
    </row>
    <row r="469" spans="15:22" x14ac:dyDescent="0.25">
      <c r="O469" s="22"/>
      <c r="Q469" s="10"/>
      <c r="T469" s="2"/>
      <c r="V469" s="2"/>
    </row>
    <row r="470" spans="15:22" x14ac:dyDescent="0.25">
      <c r="O470" s="22"/>
      <c r="Q470" s="10"/>
      <c r="T470" s="2"/>
      <c r="V470" s="2"/>
    </row>
    <row r="471" spans="15:22" x14ac:dyDescent="0.25">
      <c r="O471" s="22"/>
      <c r="Q471" s="10"/>
      <c r="T471" s="2"/>
      <c r="V471" s="2"/>
    </row>
    <row r="472" spans="15:22" x14ac:dyDescent="0.25">
      <c r="O472" s="22"/>
      <c r="Q472" s="10"/>
      <c r="T472" s="2"/>
      <c r="V472" s="2"/>
    </row>
    <row r="473" spans="15:22" x14ac:dyDescent="0.25">
      <c r="O473" s="22"/>
      <c r="Q473" s="10"/>
      <c r="T473" s="2"/>
      <c r="V473" s="2"/>
    </row>
    <row r="474" spans="15:22" x14ac:dyDescent="0.25">
      <c r="O474" s="22"/>
      <c r="Q474" s="10"/>
      <c r="T474" s="2"/>
      <c r="V474" s="2"/>
    </row>
    <row r="475" spans="15:22" x14ac:dyDescent="0.25">
      <c r="O475" s="22"/>
      <c r="Q475" s="10"/>
      <c r="T475" s="2"/>
      <c r="V475" s="2"/>
    </row>
    <row r="476" spans="15:22" x14ac:dyDescent="0.25">
      <c r="O476" s="22"/>
      <c r="Q476" s="10"/>
      <c r="T476" s="2"/>
      <c r="V476" s="2"/>
    </row>
    <row r="477" spans="15:22" x14ac:dyDescent="0.25">
      <c r="O477" s="22"/>
      <c r="Q477" s="10"/>
      <c r="T477" s="2"/>
      <c r="V477" s="2"/>
    </row>
    <row r="478" spans="15:22" x14ac:dyDescent="0.25">
      <c r="O478" s="22"/>
      <c r="Q478" s="10"/>
      <c r="T478" s="2"/>
      <c r="V478" s="2"/>
    </row>
    <row r="479" spans="15:22" x14ac:dyDescent="0.25">
      <c r="O479" s="22"/>
      <c r="Q479" s="10"/>
      <c r="T479" s="2"/>
      <c r="V479" s="2"/>
    </row>
    <row r="480" spans="15:22" x14ac:dyDescent="0.25">
      <c r="O480" s="22"/>
      <c r="Q480" s="10"/>
      <c r="T480" s="2"/>
      <c r="V480" s="2"/>
    </row>
    <row r="481" spans="15:22" x14ac:dyDescent="0.25">
      <c r="O481" s="22"/>
      <c r="Q481" s="10"/>
      <c r="T481" s="2"/>
      <c r="V481" s="2"/>
    </row>
    <row r="482" spans="15:22" x14ac:dyDescent="0.25">
      <c r="O482" s="22"/>
      <c r="Q482" s="10"/>
      <c r="T482" s="2"/>
      <c r="V482" s="2"/>
    </row>
    <row r="483" spans="15:22" x14ac:dyDescent="0.25">
      <c r="O483" s="22"/>
      <c r="Q483" s="10"/>
      <c r="T483" s="2"/>
      <c r="V483" s="2"/>
    </row>
    <row r="484" spans="15:22" x14ac:dyDescent="0.25">
      <c r="O484" s="22"/>
      <c r="Q484" s="10"/>
      <c r="T484" s="2"/>
      <c r="V484" s="2"/>
    </row>
    <row r="485" spans="15:22" x14ac:dyDescent="0.25">
      <c r="O485" s="22"/>
      <c r="Q485" s="10"/>
      <c r="T485" s="2"/>
      <c r="V485" s="2"/>
    </row>
    <row r="486" spans="15:22" x14ac:dyDescent="0.25">
      <c r="O486" s="22"/>
      <c r="Q486" s="10"/>
      <c r="T486" s="2"/>
      <c r="V486" s="2"/>
    </row>
    <row r="487" spans="15:22" x14ac:dyDescent="0.25">
      <c r="O487" s="22"/>
      <c r="Q487" s="10"/>
      <c r="T487" s="2"/>
      <c r="V487" s="2"/>
    </row>
    <row r="488" spans="15:22" x14ac:dyDescent="0.25">
      <c r="O488" s="22"/>
      <c r="Q488" s="10"/>
      <c r="T488" s="2"/>
      <c r="V488" s="2"/>
    </row>
    <row r="489" spans="15:22" x14ac:dyDescent="0.25">
      <c r="O489" s="22"/>
      <c r="Q489" s="10"/>
      <c r="T489" s="2"/>
      <c r="V489" s="2"/>
    </row>
    <row r="490" spans="15:22" x14ac:dyDescent="0.25">
      <c r="O490" s="22"/>
      <c r="Q490" s="10"/>
      <c r="T490" s="2"/>
      <c r="V490" s="2"/>
    </row>
    <row r="491" spans="15:22" x14ac:dyDescent="0.25">
      <c r="O491" s="22"/>
      <c r="Q491" s="10"/>
      <c r="T491" s="2"/>
      <c r="V491" s="2"/>
    </row>
    <row r="492" spans="15:22" x14ac:dyDescent="0.25">
      <c r="O492" s="22"/>
      <c r="Q492" s="10"/>
      <c r="T492" s="2"/>
      <c r="V492" s="2"/>
    </row>
    <row r="493" spans="15:22" x14ac:dyDescent="0.25">
      <c r="O493" s="22"/>
      <c r="Q493" s="10"/>
      <c r="T493" s="2"/>
      <c r="V493" s="2"/>
    </row>
    <row r="494" spans="15:22" x14ac:dyDescent="0.25">
      <c r="O494" s="22"/>
      <c r="Q494" s="10"/>
      <c r="T494" s="2"/>
      <c r="V494" s="2"/>
    </row>
    <row r="495" spans="15:22" x14ac:dyDescent="0.25">
      <c r="O495" s="22"/>
      <c r="Q495" s="10"/>
      <c r="T495" s="2"/>
      <c r="V495" s="2"/>
    </row>
    <row r="496" spans="15:22" x14ac:dyDescent="0.25">
      <c r="O496" s="22"/>
      <c r="Q496" s="10"/>
      <c r="T496" s="2"/>
      <c r="V496" s="2"/>
    </row>
    <row r="497" spans="15:22" x14ac:dyDescent="0.25">
      <c r="O497" s="22"/>
      <c r="Q497" s="10"/>
      <c r="T497" s="2"/>
      <c r="V497" s="2"/>
    </row>
    <row r="498" spans="15:22" x14ac:dyDescent="0.25">
      <c r="O498" s="22"/>
      <c r="Q498" s="10"/>
      <c r="T498" s="2"/>
      <c r="V498" s="2"/>
    </row>
    <row r="499" spans="15:22" x14ac:dyDescent="0.25">
      <c r="O499" s="22"/>
      <c r="Q499" s="10"/>
      <c r="T499" s="2"/>
      <c r="V499" s="2"/>
    </row>
    <row r="500" spans="15:22" x14ac:dyDescent="0.25">
      <c r="O500" s="22"/>
      <c r="Q500" s="10"/>
      <c r="T500" s="2"/>
      <c r="V500" s="2"/>
    </row>
    <row r="501" spans="15:22" x14ac:dyDescent="0.25">
      <c r="O501" s="22"/>
      <c r="Q501" s="10"/>
      <c r="T501" s="2"/>
      <c r="V501" s="2"/>
    </row>
    <row r="502" spans="15:22" x14ac:dyDescent="0.25">
      <c r="O502" s="22"/>
      <c r="Q502" s="10"/>
      <c r="T502" s="2"/>
      <c r="V502" s="2"/>
    </row>
    <row r="503" spans="15:22" x14ac:dyDescent="0.25">
      <c r="O503" s="22"/>
      <c r="Q503" s="10"/>
      <c r="T503" s="2"/>
      <c r="V503" s="2"/>
    </row>
    <row r="504" spans="15:22" x14ac:dyDescent="0.25">
      <c r="O504" s="22"/>
      <c r="Q504" s="10"/>
      <c r="T504" s="2"/>
      <c r="V504" s="2"/>
    </row>
    <row r="505" spans="15:22" x14ac:dyDescent="0.25">
      <c r="O505" s="22"/>
      <c r="Q505" s="10"/>
      <c r="T505" s="2"/>
      <c r="V505" s="2"/>
    </row>
    <row r="506" spans="15:22" x14ac:dyDescent="0.25">
      <c r="O506" s="22"/>
      <c r="Q506" s="10"/>
      <c r="T506" s="2"/>
      <c r="V506" s="2"/>
    </row>
    <row r="507" spans="15:22" x14ac:dyDescent="0.25">
      <c r="O507" s="22"/>
      <c r="Q507" s="10"/>
      <c r="T507" s="2"/>
      <c r="V507" s="2"/>
    </row>
    <row r="508" spans="15:22" x14ac:dyDescent="0.25">
      <c r="O508" s="22"/>
      <c r="Q508" s="10"/>
      <c r="T508" s="2"/>
      <c r="V508" s="2"/>
    </row>
    <row r="509" spans="15:22" x14ac:dyDescent="0.25">
      <c r="O509" s="22"/>
      <c r="Q509" s="10"/>
      <c r="T509" s="2"/>
      <c r="V509" s="2"/>
    </row>
    <row r="510" spans="15:22" x14ac:dyDescent="0.25">
      <c r="O510" s="22"/>
      <c r="Q510" s="10"/>
      <c r="T510" s="2"/>
      <c r="V510" s="2"/>
    </row>
    <row r="511" spans="15:22" x14ac:dyDescent="0.25">
      <c r="O511" s="22"/>
      <c r="Q511" s="10"/>
      <c r="T511" s="2"/>
      <c r="V511" s="2"/>
    </row>
    <row r="512" spans="15:22" x14ac:dyDescent="0.25">
      <c r="O512" s="22"/>
      <c r="Q512" s="10"/>
      <c r="T512" s="2"/>
      <c r="V512" s="2"/>
    </row>
    <row r="513" spans="15:26" x14ac:dyDescent="0.25">
      <c r="O513" s="22"/>
      <c r="Q513" s="10"/>
      <c r="T513" s="2"/>
      <c r="V513" s="2"/>
    </row>
    <row r="514" spans="15:26" x14ac:dyDescent="0.25">
      <c r="O514" s="22"/>
      <c r="Q514" s="10"/>
      <c r="T514" s="2"/>
      <c r="V514" s="2"/>
    </row>
    <row r="515" spans="15:26" x14ac:dyDescent="0.25">
      <c r="O515" s="22"/>
      <c r="Q515" s="10"/>
      <c r="T515" s="2"/>
      <c r="V515" s="2"/>
    </row>
    <row r="516" spans="15:26" x14ac:dyDescent="0.25">
      <c r="O516" s="22"/>
      <c r="Q516" s="10"/>
      <c r="T516" s="2"/>
      <c r="V516" s="2"/>
    </row>
    <row r="517" spans="15:26" x14ac:dyDescent="0.25">
      <c r="O517" s="22"/>
      <c r="Q517" s="10"/>
      <c r="T517" s="2"/>
      <c r="V517" s="2"/>
    </row>
    <row r="518" spans="15:26" x14ac:dyDescent="0.25">
      <c r="O518" s="22"/>
      <c r="Q518" s="10"/>
      <c r="T518" s="2"/>
      <c r="V518" s="2"/>
    </row>
    <row r="519" spans="15:26" x14ac:dyDescent="0.25">
      <c r="O519" s="22"/>
      <c r="Q519" s="10"/>
      <c r="T519" s="2"/>
      <c r="V519" s="2"/>
    </row>
    <row r="520" spans="15:26" x14ac:dyDescent="0.25">
      <c r="O520" s="22"/>
      <c r="Q520" s="10"/>
      <c r="T520" s="2"/>
      <c r="V520" s="2"/>
    </row>
    <row r="521" spans="15:26" x14ac:dyDescent="0.25">
      <c r="O521" s="22"/>
      <c r="Q521" s="10"/>
      <c r="T521" s="2"/>
      <c r="V521" s="2"/>
    </row>
    <row r="522" spans="15:26" x14ac:dyDescent="0.25">
      <c r="O522" s="22"/>
      <c r="Q522" s="10"/>
      <c r="T522" s="2"/>
      <c r="V522" s="2"/>
    </row>
    <row r="523" spans="15:26" x14ac:dyDescent="0.25">
      <c r="O523" s="22"/>
      <c r="Q523" s="10"/>
      <c r="T523" s="2"/>
      <c r="V523" s="2"/>
    </row>
    <row r="524" spans="15:26" x14ac:dyDescent="0.25">
      <c r="O524" s="22"/>
      <c r="Q524" s="10"/>
      <c r="T524" s="2"/>
      <c r="V524" s="2"/>
      <c r="Y524" s="1"/>
      <c r="Z524" s="3"/>
    </row>
    <row r="525" spans="15:26" x14ac:dyDescent="0.25">
      <c r="O525" s="22"/>
      <c r="Q525" s="10"/>
      <c r="T525" s="2"/>
      <c r="V525" s="2"/>
      <c r="Y525" s="1"/>
      <c r="Z525" s="3"/>
    </row>
    <row r="526" spans="15:26" x14ac:dyDescent="0.25">
      <c r="O526" s="22"/>
      <c r="Q526" s="10"/>
      <c r="T526" s="2"/>
      <c r="V526" s="2"/>
      <c r="Y526" s="1"/>
      <c r="Z526" s="3"/>
    </row>
    <row r="527" spans="15:26" x14ac:dyDescent="0.25">
      <c r="O527" s="22"/>
      <c r="Q527" s="10"/>
      <c r="T527" s="2"/>
      <c r="V527" s="2"/>
      <c r="Y527" s="1"/>
      <c r="Z527" s="3"/>
    </row>
    <row r="528" spans="15:26" x14ac:dyDescent="0.25">
      <c r="O528" s="22"/>
      <c r="Q528" s="10"/>
      <c r="T528" s="2"/>
      <c r="V528" s="2"/>
      <c r="Y528" s="1"/>
      <c r="Z528" s="3"/>
    </row>
    <row r="529" spans="15:26" x14ac:dyDescent="0.25">
      <c r="O529" s="22"/>
      <c r="Q529" s="10"/>
      <c r="T529" s="2"/>
      <c r="V529" s="2"/>
      <c r="Y529" s="1"/>
      <c r="Z529" s="3"/>
    </row>
    <row r="530" spans="15:26" x14ac:dyDescent="0.25">
      <c r="O530" s="22"/>
      <c r="Q530" s="10"/>
      <c r="T530" s="2"/>
      <c r="V530" s="2"/>
      <c r="Y530" s="1"/>
      <c r="Z530" s="3"/>
    </row>
    <row r="531" spans="15:26" x14ac:dyDescent="0.25">
      <c r="O531" s="22"/>
      <c r="Q531" s="10"/>
      <c r="T531" s="2"/>
      <c r="V531" s="2"/>
      <c r="Y531" s="1"/>
      <c r="Z531" s="3"/>
    </row>
    <row r="532" spans="15:26" x14ac:dyDescent="0.25">
      <c r="O532" s="22"/>
      <c r="Q532" s="10"/>
      <c r="T532" s="2"/>
      <c r="V532" s="2"/>
      <c r="Y532" s="1"/>
      <c r="Z532" s="3"/>
    </row>
    <row r="533" spans="15:26" x14ac:dyDescent="0.25">
      <c r="O533" s="22"/>
      <c r="Q533" s="10"/>
      <c r="T533" s="2"/>
      <c r="V533" s="2"/>
      <c r="Y533" s="1"/>
      <c r="Z533" s="3"/>
    </row>
    <row r="534" spans="15:26" x14ac:dyDescent="0.25">
      <c r="O534" s="22"/>
      <c r="Q534" s="10"/>
      <c r="T534" s="2"/>
      <c r="V534" s="2"/>
      <c r="Y534" s="1"/>
      <c r="Z534" s="3"/>
    </row>
    <row r="535" spans="15:26" x14ac:dyDescent="0.25">
      <c r="O535" s="22"/>
      <c r="Q535" s="10"/>
      <c r="T535" s="2"/>
      <c r="V535" s="2"/>
      <c r="Y535" s="1"/>
      <c r="Z535" s="3"/>
    </row>
    <row r="536" spans="15:26" x14ac:dyDescent="0.25">
      <c r="O536" s="22"/>
      <c r="Q536" s="10"/>
      <c r="T536" s="2"/>
      <c r="V536" s="2"/>
      <c r="Y536" s="1"/>
      <c r="Z536" s="3"/>
    </row>
    <row r="537" spans="15:26" x14ac:dyDescent="0.25">
      <c r="O537" s="22"/>
      <c r="Q537" s="10"/>
      <c r="T537" s="2"/>
      <c r="V537" s="2"/>
      <c r="Y537" s="1"/>
      <c r="Z537" s="3"/>
    </row>
    <row r="538" spans="15:26" x14ac:dyDescent="0.25">
      <c r="O538" s="22"/>
      <c r="Q538" s="10"/>
      <c r="T538" s="2"/>
      <c r="V538" s="2"/>
      <c r="Y538" s="1"/>
      <c r="Z538" s="3"/>
    </row>
    <row r="539" spans="15:26" x14ac:dyDescent="0.25">
      <c r="O539" s="22"/>
      <c r="Q539" s="10"/>
      <c r="T539" s="2"/>
      <c r="V539" s="2"/>
      <c r="Y539" s="1"/>
      <c r="Z539" s="3"/>
    </row>
    <row r="540" spans="15:26" x14ac:dyDescent="0.25">
      <c r="O540" s="22"/>
      <c r="Q540" s="10"/>
      <c r="T540" s="2"/>
      <c r="V540" s="2"/>
      <c r="Y540" s="1"/>
      <c r="Z540" s="3"/>
    </row>
    <row r="541" spans="15:26" x14ac:dyDescent="0.25">
      <c r="O541" s="22"/>
      <c r="Q541" s="10"/>
      <c r="T541" s="2"/>
      <c r="V541" s="2"/>
      <c r="Y541" s="1"/>
      <c r="Z541" s="3"/>
    </row>
    <row r="542" spans="15:26" x14ac:dyDescent="0.25">
      <c r="O542" s="22"/>
      <c r="Q542" s="10"/>
      <c r="T542" s="2"/>
      <c r="V542" s="2"/>
      <c r="Y542" s="1"/>
      <c r="Z542" s="3"/>
    </row>
    <row r="543" spans="15:26" x14ac:dyDescent="0.25">
      <c r="O543" s="22"/>
      <c r="Q543" s="10"/>
      <c r="T543" s="2"/>
      <c r="V543" s="2"/>
      <c r="Y543" s="1"/>
      <c r="Z543" s="3"/>
    </row>
    <row r="544" spans="15:26" x14ac:dyDescent="0.25">
      <c r="O544" s="22"/>
      <c r="Q544" s="10"/>
      <c r="T544" s="2"/>
      <c r="V544" s="2"/>
      <c r="Y544" s="1"/>
      <c r="Z544" s="3"/>
    </row>
    <row r="545" spans="15:26" x14ac:dyDescent="0.25">
      <c r="O545" s="22"/>
      <c r="Q545" s="10"/>
      <c r="T545" s="2"/>
      <c r="V545" s="2"/>
      <c r="Y545" s="1"/>
      <c r="Z545" s="3"/>
    </row>
    <row r="546" spans="15:26" x14ac:dyDescent="0.25">
      <c r="O546" s="22"/>
      <c r="Q546" s="10"/>
      <c r="T546" s="2"/>
      <c r="V546" s="2"/>
      <c r="Y546" s="1"/>
      <c r="Z546" s="3"/>
    </row>
    <row r="547" spans="15:26" x14ac:dyDescent="0.25">
      <c r="O547" s="22"/>
      <c r="Q547" s="10"/>
      <c r="T547" s="2"/>
      <c r="V547" s="2"/>
      <c r="Y547" s="1"/>
      <c r="Z547" s="3"/>
    </row>
    <row r="548" spans="15:26" x14ac:dyDescent="0.25">
      <c r="O548" s="22"/>
      <c r="Q548" s="10"/>
      <c r="T548" s="2"/>
      <c r="V548" s="2"/>
      <c r="Y548" s="1"/>
      <c r="Z548" s="3"/>
    </row>
    <row r="549" spans="15:26" x14ac:dyDescent="0.25">
      <c r="O549" s="22"/>
      <c r="Q549" s="10"/>
      <c r="T549" s="2"/>
      <c r="V549" s="2"/>
      <c r="Y549" s="1"/>
      <c r="Z549" s="3"/>
    </row>
    <row r="550" spans="15:26" x14ac:dyDescent="0.25">
      <c r="O550" s="22"/>
      <c r="Q550" s="10"/>
      <c r="T550" s="2"/>
      <c r="V550" s="2"/>
      <c r="Y550" s="1"/>
      <c r="Z550" s="3"/>
    </row>
    <row r="551" spans="15:26" x14ac:dyDescent="0.25">
      <c r="O551" s="22"/>
      <c r="Q551" s="10"/>
      <c r="T551" s="2"/>
      <c r="V551" s="2"/>
      <c r="Y551" s="1"/>
      <c r="Z551" s="3"/>
    </row>
    <row r="552" spans="15:26" x14ac:dyDescent="0.25">
      <c r="O552" s="22"/>
      <c r="Q552" s="10"/>
      <c r="T552" s="2"/>
      <c r="V552" s="2"/>
      <c r="Y552" s="1"/>
      <c r="Z552" s="3"/>
    </row>
    <row r="553" spans="15:26" x14ac:dyDescent="0.25">
      <c r="O553" s="22"/>
      <c r="Q553" s="10"/>
      <c r="T553" s="2"/>
      <c r="V553" s="2"/>
      <c r="Y553" s="1"/>
      <c r="Z553" s="3"/>
    </row>
    <row r="554" spans="15:26" x14ac:dyDescent="0.25">
      <c r="O554" s="22"/>
      <c r="Q554" s="10"/>
      <c r="T554" s="2"/>
      <c r="V554" s="2"/>
      <c r="Y554" s="1"/>
      <c r="Z554" s="3"/>
    </row>
    <row r="555" spans="15:26" x14ac:dyDescent="0.25">
      <c r="O555" s="22"/>
      <c r="Q555" s="10"/>
      <c r="T555" s="2"/>
      <c r="V555" s="2"/>
      <c r="Y555" s="1"/>
      <c r="Z555" s="3"/>
    </row>
    <row r="556" spans="15:26" x14ac:dyDescent="0.25">
      <c r="O556" s="22"/>
      <c r="Q556" s="10"/>
      <c r="T556" s="2"/>
      <c r="V556" s="2"/>
      <c r="Y556" s="1"/>
      <c r="Z556" s="3"/>
    </row>
    <row r="557" spans="15:26" x14ac:dyDescent="0.25">
      <c r="O557" s="22"/>
      <c r="Q557" s="10"/>
      <c r="T557" s="2"/>
      <c r="V557" s="2"/>
      <c r="Y557" s="1"/>
      <c r="Z557" s="3"/>
    </row>
    <row r="558" spans="15:26" x14ac:dyDescent="0.25">
      <c r="O558" s="22"/>
      <c r="Q558" s="10"/>
      <c r="T558" s="2"/>
      <c r="V558" s="2"/>
      <c r="Y558" s="1"/>
      <c r="Z558" s="3"/>
    </row>
    <row r="559" spans="15:26" x14ac:dyDescent="0.25">
      <c r="O559" s="22"/>
      <c r="Q559" s="10"/>
      <c r="T559" s="2"/>
      <c r="V559" s="2"/>
      <c r="Y559" s="1"/>
      <c r="Z559" s="3"/>
    </row>
    <row r="560" spans="15:26" x14ac:dyDescent="0.25">
      <c r="O560" s="22"/>
      <c r="Q560" s="10"/>
      <c r="T560" s="2"/>
      <c r="V560" s="2"/>
      <c r="Y560" s="1"/>
      <c r="Z560" s="3"/>
    </row>
    <row r="561" spans="15:26" x14ac:dyDescent="0.25">
      <c r="O561" s="22"/>
      <c r="Q561" s="10"/>
      <c r="T561" s="2"/>
      <c r="V561" s="2"/>
      <c r="Y561" s="1"/>
      <c r="Z561" s="3"/>
    </row>
    <row r="562" spans="15:26" x14ac:dyDescent="0.25">
      <c r="O562" s="22"/>
      <c r="Q562" s="10"/>
      <c r="T562" s="2"/>
      <c r="V562" s="2"/>
      <c r="Y562" s="1"/>
      <c r="Z562" s="3"/>
    </row>
    <row r="563" spans="15:26" x14ac:dyDescent="0.25">
      <c r="O563" s="22"/>
      <c r="Q563" s="10"/>
      <c r="T563" s="2"/>
      <c r="V563" s="2"/>
      <c r="Y563" s="1"/>
      <c r="Z563" s="3"/>
    </row>
    <row r="564" spans="15:26" x14ac:dyDescent="0.25">
      <c r="O564" s="22"/>
      <c r="Q564" s="10"/>
      <c r="T564" s="2"/>
      <c r="V564" s="2"/>
      <c r="Y564" s="1"/>
      <c r="Z564" s="3"/>
    </row>
    <row r="565" spans="15:26" x14ac:dyDescent="0.25">
      <c r="O565" s="22"/>
      <c r="Q565" s="10"/>
      <c r="T565" s="2"/>
      <c r="V565" s="2"/>
      <c r="Y565" s="1"/>
      <c r="Z565" s="3"/>
    </row>
    <row r="566" spans="15:26" x14ac:dyDescent="0.25">
      <c r="O566" s="22"/>
      <c r="Q566" s="10"/>
      <c r="T566" s="2"/>
      <c r="V566" s="2"/>
      <c r="Y566" s="1"/>
      <c r="Z566" s="3"/>
    </row>
    <row r="567" spans="15:26" x14ac:dyDescent="0.25">
      <c r="O567" s="22"/>
      <c r="Q567" s="10"/>
      <c r="T567" s="2"/>
      <c r="V567" s="2"/>
      <c r="Y567" s="1"/>
      <c r="Z567" s="3"/>
    </row>
    <row r="568" spans="15:26" x14ac:dyDescent="0.25">
      <c r="O568" s="22"/>
      <c r="Q568" s="10"/>
      <c r="T568" s="2"/>
      <c r="V568" s="2"/>
      <c r="Y568" s="1"/>
      <c r="Z568" s="3"/>
    </row>
    <row r="569" spans="15:26" x14ac:dyDescent="0.25">
      <c r="O569" s="22"/>
      <c r="Q569" s="10"/>
      <c r="T569" s="2"/>
      <c r="V569" s="2"/>
      <c r="Y569" s="1"/>
      <c r="Z569" s="3"/>
    </row>
    <row r="570" spans="15:26" x14ac:dyDescent="0.25">
      <c r="O570" s="22"/>
      <c r="Q570" s="10"/>
      <c r="T570" s="2"/>
      <c r="V570" s="2"/>
      <c r="Y570" s="1"/>
      <c r="Z570" s="3"/>
    </row>
    <row r="571" spans="15:26" x14ac:dyDescent="0.25">
      <c r="O571" s="22"/>
      <c r="Q571" s="10"/>
      <c r="T571" s="2"/>
      <c r="V571" s="2"/>
      <c r="Y571" s="1"/>
      <c r="Z571" s="3"/>
    </row>
    <row r="572" spans="15:26" x14ac:dyDescent="0.25">
      <c r="O572" s="22"/>
      <c r="Q572" s="10"/>
      <c r="T572" s="2"/>
      <c r="V572" s="2"/>
      <c r="Y572" s="1"/>
      <c r="Z572" s="3"/>
    </row>
    <row r="573" spans="15:26" x14ac:dyDescent="0.25">
      <c r="O573" s="22"/>
      <c r="Q573" s="10"/>
      <c r="T573" s="2"/>
      <c r="V573" s="2"/>
      <c r="Y573" s="1"/>
      <c r="Z573" s="3"/>
    </row>
    <row r="574" spans="15:26" x14ac:dyDescent="0.25">
      <c r="O574" s="22"/>
      <c r="Q574" s="10"/>
      <c r="T574" s="2"/>
      <c r="V574" s="2"/>
      <c r="Y574" s="1"/>
      <c r="Z574" s="3"/>
    </row>
    <row r="575" spans="15:26" x14ac:dyDescent="0.25">
      <c r="O575" s="22"/>
      <c r="Q575" s="10"/>
      <c r="T575" s="2"/>
      <c r="V575" s="2"/>
      <c r="Y575" s="1"/>
      <c r="Z575" s="3"/>
    </row>
    <row r="576" spans="15:26" x14ac:dyDescent="0.25">
      <c r="O576" s="22"/>
      <c r="Q576" s="10"/>
      <c r="T576" s="2"/>
      <c r="V576" s="2"/>
      <c r="Y576" s="1"/>
      <c r="Z576" s="3"/>
    </row>
    <row r="577" spans="15:26" x14ac:dyDescent="0.25">
      <c r="O577" s="22"/>
      <c r="Q577" s="10"/>
      <c r="T577" s="2"/>
      <c r="V577" s="2"/>
      <c r="Y577" s="1"/>
      <c r="Z577" s="3"/>
    </row>
    <row r="578" spans="15:26" x14ac:dyDescent="0.25">
      <c r="O578" s="22"/>
      <c r="Q578" s="10"/>
      <c r="T578" s="2"/>
      <c r="V578" s="2"/>
      <c r="Y578" s="1"/>
      <c r="Z578" s="3"/>
    </row>
    <row r="579" spans="15:26" x14ac:dyDescent="0.25">
      <c r="O579" s="22"/>
      <c r="Q579" s="10"/>
      <c r="T579" s="2"/>
      <c r="V579" s="2"/>
      <c r="Y579" s="1"/>
      <c r="Z579" s="3"/>
    </row>
    <row r="580" spans="15:26" x14ac:dyDescent="0.25">
      <c r="O580" s="22"/>
      <c r="Q580" s="10"/>
      <c r="T580" s="2"/>
      <c r="V580" s="2"/>
      <c r="Y580" s="1"/>
      <c r="Z580" s="3"/>
    </row>
    <row r="581" spans="15:26" x14ac:dyDescent="0.25">
      <c r="O581" s="22"/>
      <c r="Q581" s="10"/>
      <c r="T581" s="2"/>
      <c r="V581" s="2"/>
      <c r="Y581" s="1"/>
      <c r="Z581" s="3"/>
    </row>
    <row r="582" spans="15:26" x14ac:dyDescent="0.25">
      <c r="O582" s="22"/>
      <c r="Q582" s="10"/>
      <c r="T582" s="2"/>
      <c r="V582" s="2"/>
      <c r="Y582" s="1"/>
      <c r="Z582" s="3"/>
    </row>
    <row r="583" spans="15:26" x14ac:dyDescent="0.25">
      <c r="O583" s="22"/>
      <c r="T583" s="2"/>
      <c r="V583" s="2"/>
      <c r="Y583" s="1"/>
      <c r="Z583" s="3"/>
    </row>
    <row r="584" spans="15:26" x14ac:dyDescent="0.25">
      <c r="O584" s="22"/>
      <c r="T584" s="2"/>
      <c r="V584" s="2"/>
      <c r="Y584" s="1"/>
      <c r="Z584" s="3"/>
    </row>
    <row r="585" spans="15:26" x14ac:dyDescent="0.25">
      <c r="O585" s="22"/>
      <c r="T585" s="2"/>
      <c r="V585" s="2"/>
      <c r="Y585" s="1"/>
      <c r="Z585" s="3"/>
    </row>
    <row r="586" spans="15:26" x14ac:dyDescent="0.25">
      <c r="O586" s="22"/>
      <c r="T586" s="2"/>
      <c r="V586" s="2"/>
      <c r="Y586" s="1"/>
      <c r="Z586" s="3"/>
    </row>
    <row r="587" spans="15:26" x14ac:dyDescent="0.25">
      <c r="O587" s="22"/>
      <c r="T587" s="2"/>
      <c r="V587" s="2"/>
      <c r="Y587" s="1"/>
      <c r="Z587" s="3"/>
    </row>
    <row r="588" spans="15:26" x14ac:dyDescent="0.25">
      <c r="O588" s="22"/>
      <c r="T588" s="2"/>
      <c r="V588" s="2"/>
      <c r="Y588" s="1"/>
      <c r="Z588" s="3"/>
    </row>
    <row r="589" spans="15:26" x14ac:dyDescent="0.25">
      <c r="O589" s="22"/>
      <c r="T589" s="2"/>
      <c r="V589" s="2"/>
      <c r="Y589" s="1"/>
      <c r="Z589" s="3"/>
    </row>
    <row r="590" spans="15:26" x14ac:dyDescent="0.25">
      <c r="O590" s="22"/>
      <c r="T590" s="2"/>
      <c r="V590" s="2"/>
      <c r="Y590" s="1"/>
      <c r="Z590" s="3"/>
    </row>
    <row r="591" spans="15:26" x14ac:dyDescent="0.25">
      <c r="O591" s="22"/>
      <c r="T591" s="2"/>
      <c r="V591" s="2"/>
      <c r="Y591" s="1"/>
      <c r="Z591" s="3"/>
    </row>
    <row r="592" spans="15:26" x14ac:dyDescent="0.25">
      <c r="O592" s="22"/>
      <c r="T592" s="2"/>
      <c r="V592" s="2"/>
      <c r="Y592" s="1"/>
      <c r="Z592" s="3"/>
    </row>
    <row r="593" spans="15:26" x14ac:dyDescent="0.25">
      <c r="O593" s="22"/>
      <c r="T593" s="2"/>
      <c r="V593" s="2"/>
      <c r="Y593" s="1"/>
      <c r="Z593" s="3"/>
    </row>
    <row r="594" spans="15:26" x14ac:dyDescent="0.25">
      <c r="O594" s="22"/>
      <c r="T594" s="2"/>
      <c r="V594" s="2"/>
      <c r="Y594" s="1"/>
      <c r="Z594" s="3"/>
    </row>
    <row r="595" spans="15:26" x14ac:dyDescent="0.25">
      <c r="O595" s="22"/>
      <c r="T595" s="2"/>
      <c r="V595" s="2"/>
      <c r="Y595" s="1"/>
      <c r="Z595" s="3"/>
    </row>
    <row r="596" spans="15:26" x14ac:dyDescent="0.25">
      <c r="O596" s="22"/>
      <c r="T596" s="2"/>
      <c r="V596" s="2"/>
      <c r="Y596" s="1"/>
      <c r="Z596" s="3"/>
    </row>
    <row r="597" spans="15:26" x14ac:dyDescent="0.25">
      <c r="O597" s="22"/>
      <c r="T597" s="2"/>
      <c r="V597" s="2"/>
      <c r="Y597" s="1"/>
      <c r="Z597" s="3"/>
    </row>
    <row r="598" spans="15:26" x14ac:dyDescent="0.25">
      <c r="O598" s="22"/>
      <c r="T598" s="2"/>
      <c r="V598" s="2"/>
      <c r="Y598" s="1"/>
      <c r="Z598" s="3"/>
    </row>
    <row r="599" spans="15:26" x14ac:dyDescent="0.25">
      <c r="O599" s="22"/>
      <c r="T599" s="2"/>
      <c r="V599" s="2"/>
      <c r="Y599" s="1"/>
      <c r="Z599" s="3"/>
    </row>
    <row r="600" spans="15:26" x14ac:dyDescent="0.25">
      <c r="O600" s="22"/>
      <c r="T600" s="2"/>
      <c r="V600" s="2"/>
      <c r="Y600" s="1"/>
      <c r="Z600" s="3"/>
    </row>
    <row r="601" spans="15:26" x14ac:dyDescent="0.25">
      <c r="O601" s="22"/>
      <c r="T601" s="2"/>
      <c r="V601" s="2"/>
      <c r="Y601" s="1"/>
      <c r="Z601" s="3"/>
    </row>
    <row r="602" spans="15:26" x14ac:dyDescent="0.25">
      <c r="O602" s="22"/>
      <c r="T602" s="2"/>
      <c r="V602" s="2"/>
      <c r="Y602" s="1"/>
      <c r="Z602" s="3"/>
    </row>
    <row r="603" spans="15:26" x14ac:dyDescent="0.25">
      <c r="O603" s="22"/>
      <c r="T603" s="2"/>
      <c r="V603" s="2"/>
      <c r="Y603" s="1"/>
      <c r="Z603" s="3"/>
    </row>
    <row r="604" spans="15:26" x14ac:dyDescent="0.25">
      <c r="O604" s="22"/>
      <c r="T604" s="2"/>
      <c r="V604" s="2"/>
      <c r="Y604" s="1"/>
      <c r="Z604" s="3"/>
    </row>
    <row r="605" spans="15:26" x14ac:dyDescent="0.25">
      <c r="O605" s="22"/>
      <c r="T605" s="2"/>
      <c r="V605" s="2"/>
      <c r="Y605" s="1"/>
      <c r="Z605" s="3"/>
    </row>
    <row r="606" spans="15:26" x14ac:dyDescent="0.25">
      <c r="O606" s="22"/>
      <c r="T606" s="2"/>
      <c r="V606" s="2"/>
      <c r="Y606" s="1"/>
      <c r="Z606" s="3"/>
    </row>
    <row r="607" spans="15:26" x14ac:dyDescent="0.25">
      <c r="O607" s="22"/>
      <c r="T607" s="2"/>
      <c r="V607" s="2"/>
      <c r="Y607" s="1"/>
      <c r="Z607" s="3"/>
    </row>
    <row r="608" spans="15:26" x14ac:dyDescent="0.25">
      <c r="O608" s="22"/>
      <c r="T608" s="2"/>
      <c r="V608" s="2"/>
      <c r="Y608" s="1"/>
      <c r="Z608" s="3"/>
    </row>
    <row r="609" spans="15:26" x14ac:dyDescent="0.25">
      <c r="O609" s="22"/>
      <c r="T609" s="2"/>
      <c r="V609" s="2"/>
      <c r="Y609" s="1"/>
      <c r="Z609" s="3"/>
    </row>
    <row r="610" spans="15:26" x14ac:dyDescent="0.25">
      <c r="O610" s="22"/>
      <c r="T610" s="2"/>
      <c r="V610" s="2"/>
      <c r="Y610" s="1"/>
      <c r="Z610" s="3"/>
    </row>
    <row r="611" spans="15:26" x14ac:dyDescent="0.25">
      <c r="O611" s="22"/>
      <c r="T611" s="2"/>
      <c r="V611" s="2"/>
      <c r="Y611" s="1"/>
      <c r="Z611" s="3"/>
    </row>
    <row r="612" spans="15:26" x14ac:dyDescent="0.25">
      <c r="O612" s="22"/>
      <c r="T612" s="2"/>
      <c r="V612" s="2"/>
      <c r="Y612" s="1"/>
      <c r="Z612" s="3"/>
    </row>
    <row r="613" spans="15:26" x14ac:dyDescent="0.25">
      <c r="O613" s="22"/>
      <c r="T613" s="2"/>
      <c r="V613" s="2"/>
      <c r="Y613" s="1"/>
      <c r="Z613" s="3"/>
    </row>
    <row r="614" spans="15:26" x14ac:dyDescent="0.25">
      <c r="O614" s="22"/>
      <c r="T614" s="2"/>
      <c r="V614" s="2"/>
      <c r="Y614" s="1"/>
      <c r="Z614" s="3"/>
    </row>
    <row r="615" spans="15:26" x14ac:dyDescent="0.25">
      <c r="O615" s="22"/>
      <c r="T615" s="2"/>
      <c r="V615" s="2"/>
      <c r="Y615" s="1"/>
      <c r="Z615" s="3"/>
    </row>
    <row r="616" spans="15:26" x14ac:dyDescent="0.25">
      <c r="O616" s="22"/>
      <c r="T616" s="2"/>
      <c r="V616" s="2"/>
      <c r="Y616" s="1"/>
      <c r="Z616" s="3"/>
    </row>
    <row r="617" spans="15:26" x14ac:dyDescent="0.25">
      <c r="O617" s="22"/>
      <c r="T617" s="2"/>
      <c r="V617" s="2"/>
      <c r="Y617" s="1"/>
      <c r="Z617" s="3"/>
    </row>
    <row r="618" spans="15:26" x14ac:dyDescent="0.25">
      <c r="O618" s="22"/>
      <c r="T618" s="2"/>
      <c r="V618" s="2"/>
      <c r="Y618" s="1"/>
      <c r="Z618" s="3"/>
    </row>
    <row r="619" spans="15:26" x14ac:dyDescent="0.25">
      <c r="O619" s="22"/>
      <c r="T619" s="2"/>
      <c r="V619" s="2"/>
      <c r="Y619" s="1"/>
      <c r="Z619" s="3"/>
    </row>
    <row r="620" spans="15:26" x14ac:dyDescent="0.25">
      <c r="O620" s="22"/>
      <c r="T620" s="2"/>
      <c r="V620" s="2"/>
      <c r="Y620" s="1"/>
      <c r="Z620" s="3"/>
    </row>
    <row r="621" spans="15:26" x14ac:dyDescent="0.25">
      <c r="O621" s="22"/>
      <c r="T621" s="2"/>
      <c r="V621" s="2"/>
      <c r="Y621" s="1"/>
      <c r="Z621" s="3"/>
    </row>
    <row r="622" spans="15:26" x14ac:dyDescent="0.25">
      <c r="O622" s="22"/>
      <c r="T622" s="2"/>
      <c r="V622" s="2"/>
      <c r="Y622" s="1"/>
      <c r="Z622" s="3"/>
    </row>
    <row r="623" spans="15:26" x14ac:dyDescent="0.25">
      <c r="O623" s="22"/>
      <c r="T623" s="2"/>
      <c r="V623" s="2"/>
      <c r="Y623" s="1"/>
      <c r="Z623" s="3"/>
    </row>
    <row r="624" spans="15:26" x14ac:dyDescent="0.25">
      <c r="O624" s="22"/>
      <c r="T624" s="2"/>
      <c r="V624" s="2"/>
      <c r="Y624" s="1"/>
      <c r="Z624" s="3"/>
    </row>
    <row r="625" spans="15:26" x14ac:dyDescent="0.25">
      <c r="O625" s="22"/>
      <c r="T625" s="2"/>
      <c r="V625" s="2"/>
      <c r="Y625" s="1"/>
      <c r="Z625" s="3"/>
    </row>
    <row r="626" spans="15:26" x14ac:dyDescent="0.25">
      <c r="O626" s="22"/>
      <c r="T626" s="2"/>
      <c r="V626" s="2"/>
      <c r="Y626" s="1"/>
      <c r="Z626" s="3"/>
    </row>
    <row r="627" spans="15:26" x14ac:dyDescent="0.25">
      <c r="O627" s="22"/>
      <c r="T627" s="2"/>
      <c r="V627" s="2"/>
      <c r="Y627" s="1"/>
      <c r="Z627" s="3"/>
    </row>
    <row r="628" spans="15:26" x14ac:dyDescent="0.25">
      <c r="O628" s="22"/>
      <c r="T628" s="2"/>
      <c r="V628" s="2"/>
      <c r="Y628" s="1"/>
      <c r="Z628" s="3"/>
    </row>
    <row r="629" spans="15:26" x14ac:dyDescent="0.25">
      <c r="O629" s="22"/>
      <c r="T629" s="2"/>
      <c r="V629" s="2"/>
      <c r="Y629" s="1"/>
      <c r="Z629" s="3"/>
    </row>
    <row r="630" spans="15:26" x14ac:dyDescent="0.25">
      <c r="O630" s="22"/>
      <c r="T630" s="2"/>
      <c r="V630" s="2"/>
      <c r="Y630" s="1"/>
      <c r="Z630" s="3"/>
    </row>
    <row r="631" spans="15:26" x14ac:dyDescent="0.25">
      <c r="O631" s="22"/>
      <c r="T631" s="2"/>
      <c r="V631" s="2"/>
      <c r="Y631" s="1"/>
      <c r="Z631" s="3"/>
    </row>
    <row r="632" spans="15:26" x14ac:dyDescent="0.25">
      <c r="O632" s="22"/>
      <c r="T632" s="2"/>
      <c r="V632" s="2"/>
      <c r="Y632" s="1"/>
      <c r="Z632" s="3"/>
    </row>
    <row r="633" spans="15:26" x14ac:dyDescent="0.25">
      <c r="O633" s="22"/>
      <c r="T633" s="2"/>
      <c r="V633" s="2"/>
      <c r="Y633" s="1"/>
      <c r="Z633" s="3"/>
    </row>
    <row r="634" spans="15:26" x14ac:dyDescent="0.25">
      <c r="O634" s="22"/>
      <c r="T634" s="2"/>
      <c r="V634" s="2"/>
      <c r="Y634" s="1"/>
      <c r="Z634" s="3"/>
    </row>
    <row r="635" spans="15:26" x14ac:dyDescent="0.25">
      <c r="O635" s="22"/>
      <c r="T635" s="2"/>
      <c r="V635" s="2"/>
      <c r="Y635" s="1"/>
      <c r="Z635" s="3"/>
    </row>
    <row r="636" spans="15:26" x14ac:dyDescent="0.25">
      <c r="O636" s="22"/>
      <c r="T636" s="2"/>
      <c r="V636" s="2"/>
      <c r="Y636" s="1"/>
      <c r="Z636" s="3"/>
    </row>
    <row r="637" spans="15:26" x14ac:dyDescent="0.25">
      <c r="O637" s="22"/>
      <c r="T637" s="2"/>
      <c r="V637" s="2"/>
      <c r="Y637" s="1"/>
      <c r="Z637" s="3"/>
    </row>
    <row r="638" spans="15:26" x14ac:dyDescent="0.25">
      <c r="O638" s="22"/>
      <c r="T638" s="2"/>
      <c r="V638" s="2"/>
      <c r="Y638" s="1"/>
      <c r="Z638" s="3"/>
    </row>
    <row r="639" spans="15:26" x14ac:dyDescent="0.25">
      <c r="O639" s="22"/>
      <c r="T639" s="2"/>
      <c r="V639" s="2"/>
      <c r="Y639" s="1"/>
      <c r="Z639" s="3"/>
    </row>
    <row r="640" spans="15:26" x14ac:dyDescent="0.25">
      <c r="O640" s="22"/>
      <c r="T640" s="2"/>
      <c r="V640" s="2"/>
      <c r="Y640" s="1"/>
      <c r="Z640" s="3"/>
    </row>
    <row r="641" spans="15:26" x14ac:dyDescent="0.25">
      <c r="O641" s="22"/>
      <c r="T641" s="2"/>
      <c r="V641" s="2"/>
      <c r="Y641" s="1"/>
      <c r="Z641" s="3"/>
    </row>
    <row r="642" spans="15:26" x14ac:dyDescent="0.25">
      <c r="O642" s="22"/>
      <c r="T642" s="2"/>
      <c r="V642" s="2"/>
      <c r="Y642" s="1"/>
      <c r="Z642" s="3"/>
    </row>
    <row r="643" spans="15:26" x14ac:dyDescent="0.25">
      <c r="O643" s="22"/>
      <c r="T643" s="2"/>
      <c r="V643" s="2"/>
      <c r="Y643" s="1"/>
      <c r="Z643" s="3"/>
    </row>
    <row r="644" spans="15:26" x14ac:dyDescent="0.25">
      <c r="O644" s="22"/>
      <c r="T644" s="2"/>
      <c r="V644" s="2"/>
      <c r="Y644" s="1"/>
      <c r="Z644" s="3"/>
    </row>
    <row r="645" spans="15:26" x14ac:dyDescent="0.25">
      <c r="O645" s="22"/>
      <c r="T645" s="2"/>
      <c r="V645" s="2"/>
      <c r="Y645" s="1"/>
      <c r="Z645" s="3"/>
    </row>
    <row r="646" spans="15:26" x14ac:dyDescent="0.25">
      <c r="O646" s="22"/>
      <c r="T646" s="2"/>
      <c r="V646" s="2"/>
      <c r="Y646" s="1"/>
      <c r="Z646" s="3"/>
    </row>
    <row r="647" spans="15:26" x14ac:dyDescent="0.25">
      <c r="O647" s="22"/>
      <c r="T647" s="2"/>
      <c r="V647" s="2"/>
      <c r="Y647" s="1"/>
      <c r="Z647" s="3"/>
    </row>
    <row r="648" spans="15:26" x14ac:dyDescent="0.25">
      <c r="O648" s="22"/>
      <c r="T648" s="2"/>
      <c r="V648" s="2"/>
      <c r="Y648" s="1"/>
      <c r="Z648" s="3"/>
    </row>
    <row r="649" spans="15:26" x14ac:dyDescent="0.25">
      <c r="O649" s="22"/>
      <c r="T649" s="2"/>
      <c r="V649" s="2"/>
      <c r="Y649" s="1"/>
      <c r="Z649" s="3"/>
    </row>
    <row r="650" spans="15:26" x14ac:dyDescent="0.25">
      <c r="O650" s="22"/>
      <c r="T650" s="2"/>
      <c r="V650" s="2"/>
      <c r="Y650" s="1"/>
      <c r="Z650" s="3"/>
    </row>
    <row r="651" spans="15:26" x14ac:dyDescent="0.25">
      <c r="O651" s="22"/>
      <c r="T651" s="2"/>
      <c r="V651" s="2"/>
      <c r="Y651" s="1"/>
      <c r="Z651" s="3"/>
    </row>
    <row r="652" spans="15:26" x14ac:dyDescent="0.25">
      <c r="O652" s="22"/>
      <c r="T652" s="2"/>
      <c r="V652" s="2"/>
      <c r="Y652" s="1"/>
      <c r="Z652" s="3"/>
    </row>
    <row r="653" spans="15:26" x14ac:dyDescent="0.25">
      <c r="O653" s="22"/>
      <c r="T653" s="2"/>
      <c r="V653" s="2"/>
      <c r="Y653" s="1"/>
      <c r="Z653" s="3"/>
    </row>
    <row r="654" spans="15:26" x14ac:dyDescent="0.25">
      <c r="O654" s="22"/>
      <c r="T654" s="2"/>
      <c r="V654" s="2"/>
      <c r="Y654" s="1"/>
      <c r="Z654" s="3"/>
    </row>
    <row r="655" spans="15:26" x14ac:dyDescent="0.25">
      <c r="O655" s="22"/>
      <c r="T655" s="2"/>
      <c r="V655" s="2"/>
      <c r="Y655" s="1"/>
      <c r="Z655" s="3"/>
    </row>
    <row r="656" spans="15:26" x14ac:dyDescent="0.25">
      <c r="O656" s="22"/>
      <c r="T656" s="2"/>
      <c r="V656" s="2"/>
      <c r="Y656" s="1"/>
      <c r="Z656" s="3"/>
    </row>
    <row r="657" spans="15:26" x14ac:dyDescent="0.25">
      <c r="O657" s="22"/>
      <c r="T657" s="2"/>
      <c r="V657" s="2"/>
      <c r="Y657" s="1"/>
      <c r="Z657" s="3"/>
    </row>
    <row r="658" spans="15:26" x14ac:dyDescent="0.25">
      <c r="O658" s="22"/>
      <c r="T658" s="2"/>
      <c r="V658" s="2"/>
      <c r="Y658" s="1"/>
      <c r="Z658" s="3"/>
    </row>
    <row r="659" spans="15:26" x14ac:dyDescent="0.25">
      <c r="O659" s="22"/>
      <c r="T659" s="2"/>
      <c r="V659" s="2"/>
      <c r="Y659" s="1"/>
      <c r="Z659" s="3"/>
    </row>
    <row r="660" spans="15:26" x14ac:dyDescent="0.25">
      <c r="O660" s="22"/>
      <c r="T660" s="2"/>
      <c r="V660" s="2"/>
      <c r="Y660" s="1"/>
      <c r="Z660" s="3"/>
    </row>
    <row r="661" spans="15:26" x14ac:dyDescent="0.25">
      <c r="O661" s="22"/>
      <c r="T661" s="2"/>
      <c r="V661" s="2"/>
      <c r="Y661" s="1"/>
      <c r="Z661" s="3"/>
    </row>
    <row r="662" spans="15:26" x14ac:dyDescent="0.25">
      <c r="O662" s="22"/>
      <c r="T662" s="2"/>
      <c r="V662" s="2"/>
      <c r="Y662" s="1"/>
      <c r="Z662" s="3"/>
    </row>
    <row r="663" spans="15:26" x14ac:dyDescent="0.25">
      <c r="O663" s="22"/>
      <c r="T663" s="2"/>
      <c r="V663" s="2"/>
      <c r="Y663" s="1"/>
      <c r="Z663" s="3"/>
    </row>
    <row r="664" spans="15:26" x14ac:dyDescent="0.25">
      <c r="O664" s="22"/>
      <c r="T664" s="2"/>
      <c r="V664" s="2"/>
      <c r="Y664" s="1"/>
      <c r="Z664" s="3"/>
    </row>
    <row r="665" spans="15:26" x14ac:dyDescent="0.25">
      <c r="O665" s="22"/>
      <c r="T665" s="2"/>
      <c r="V665" s="2"/>
      <c r="Y665" s="1"/>
      <c r="Z665" s="3"/>
    </row>
    <row r="666" spans="15:26" x14ac:dyDescent="0.25">
      <c r="O666" s="22"/>
      <c r="T666" s="2"/>
      <c r="V666" s="2"/>
      <c r="Y666" s="1"/>
      <c r="Z666" s="3"/>
    </row>
    <row r="667" spans="15:26" x14ac:dyDescent="0.25">
      <c r="O667" s="22"/>
      <c r="T667" s="2"/>
      <c r="V667" s="2"/>
      <c r="Y667" s="1"/>
      <c r="Z667" s="3"/>
    </row>
    <row r="668" spans="15:26" x14ac:dyDescent="0.25">
      <c r="O668" s="22"/>
      <c r="T668" s="2"/>
      <c r="V668" s="2"/>
      <c r="Y668" s="1"/>
      <c r="Z668" s="3"/>
    </row>
    <row r="669" spans="15:26" x14ac:dyDescent="0.25">
      <c r="O669" s="22"/>
      <c r="T669" s="2"/>
      <c r="V669" s="2"/>
      <c r="Y669" s="1"/>
      <c r="Z669" s="3"/>
    </row>
    <row r="670" spans="15:26" x14ac:dyDescent="0.25">
      <c r="O670" s="22"/>
      <c r="T670" s="2"/>
      <c r="V670" s="2"/>
      <c r="Y670" s="1"/>
      <c r="Z670" s="3"/>
    </row>
    <row r="671" spans="15:26" x14ac:dyDescent="0.25">
      <c r="O671" s="22"/>
      <c r="T671" s="2"/>
      <c r="V671" s="2"/>
      <c r="Y671" s="1"/>
      <c r="Z671" s="3"/>
    </row>
    <row r="672" spans="15:26" x14ac:dyDescent="0.25">
      <c r="O672" s="22"/>
      <c r="T672" s="2"/>
      <c r="V672" s="2"/>
      <c r="Y672" s="1"/>
      <c r="Z672" s="3"/>
    </row>
    <row r="673" spans="15:26" x14ac:dyDescent="0.25">
      <c r="O673" s="22"/>
      <c r="T673" s="2"/>
      <c r="V673" s="2"/>
      <c r="Y673" s="1"/>
      <c r="Z673" s="3"/>
    </row>
    <row r="674" spans="15:26" x14ac:dyDescent="0.25">
      <c r="O674" s="22"/>
      <c r="T674" s="2"/>
      <c r="V674" s="2"/>
      <c r="Y674" s="1"/>
      <c r="Z674" s="3"/>
    </row>
    <row r="675" spans="15:26" x14ac:dyDescent="0.25">
      <c r="O675" s="22"/>
      <c r="T675" s="2"/>
      <c r="V675" s="2"/>
      <c r="Y675" s="1"/>
      <c r="Z675" s="3"/>
    </row>
    <row r="676" spans="15:26" x14ac:dyDescent="0.25">
      <c r="O676" s="22"/>
      <c r="T676" s="2"/>
      <c r="V676" s="2"/>
      <c r="Y676" s="1"/>
      <c r="Z676" s="3"/>
    </row>
    <row r="677" spans="15:26" x14ac:dyDescent="0.25">
      <c r="O677" s="22"/>
      <c r="T677" s="2"/>
      <c r="V677" s="2"/>
      <c r="Y677" s="1"/>
      <c r="Z677" s="3"/>
    </row>
    <row r="678" spans="15:26" x14ac:dyDescent="0.25">
      <c r="O678" s="22"/>
      <c r="T678" s="2"/>
      <c r="V678" s="2"/>
      <c r="Y678" s="1"/>
      <c r="Z678" s="3"/>
    </row>
    <row r="679" spans="15:26" x14ac:dyDescent="0.25">
      <c r="O679" s="22"/>
      <c r="T679" s="2"/>
      <c r="V679" s="2"/>
      <c r="Y679" s="1"/>
      <c r="Z679" s="3"/>
    </row>
    <row r="680" spans="15:26" x14ac:dyDescent="0.25">
      <c r="O680" s="22"/>
      <c r="T680" s="2"/>
      <c r="V680" s="2"/>
      <c r="Y680" s="1"/>
      <c r="Z680" s="3"/>
    </row>
    <row r="681" spans="15:26" x14ac:dyDescent="0.25">
      <c r="O681" s="22"/>
      <c r="T681" s="2"/>
      <c r="V681" s="2"/>
      <c r="Y681" s="1"/>
      <c r="Z681" s="3"/>
    </row>
    <row r="682" spans="15:26" x14ac:dyDescent="0.25">
      <c r="O682" s="22"/>
      <c r="T682" s="2"/>
      <c r="V682" s="2"/>
      <c r="Y682" s="1"/>
      <c r="Z682" s="3"/>
    </row>
    <row r="683" spans="15:26" x14ac:dyDescent="0.25">
      <c r="O683" s="22"/>
      <c r="T683" s="2"/>
      <c r="V683" s="2"/>
      <c r="Y683" s="1"/>
      <c r="Z683" s="3"/>
    </row>
    <row r="684" spans="15:26" x14ac:dyDescent="0.25">
      <c r="O684" s="22"/>
      <c r="T684" s="2"/>
      <c r="V684" s="2"/>
      <c r="Y684" s="1"/>
      <c r="Z684" s="3"/>
    </row>
    <row r="685" spans="15:26" x14ac:dyDescent="0.25">
      <c r="O685" s="22"/>
      <c r="T685" s="2"/>
      <c r="V685" s="2"/>
      <c r="Y685" s="1"/>
      <c r="Z685" s="3"/>
    </row>
    <row r="686" spans="15:26" x14ac:dyDescent="0.25">
      <c r="O686" s="22"/>
      <c r="T686" s="2"/>
      <c r="V686" s="2"/>
      <c r="Y686" s="1"/>
      <c r="Z686" s="3"/>
    </row>
    <row r="687" spans="15:26" x14ac:dyDescent="0.25">
      <c r="O687" s="22"/>
      <c r="T687" s="2"/>
      <c r="V687" s="2"/>
      <c r="Y687" s="1"/>
      <c r="Z687" s="3"/>
    </row>
    <row r="688" spans="15:26" x14ac:dyDescent="0.25">
      <c r="O688" s="22"/>
      <c r="T688" s="2"/>
      <c r="V688" s="2"/>
      <c r="Y688" s="1"/>
      <c r="Z688" s="3"/>
    </row>
    <row r="689" spans="15:26" x14ac:dyDescent="0.25">
      <c r="O689" s="22"/>
      <c r="T689" s="2"/>
      <c r="V689" s="2"/>
      <c r="Y689" s="1"/>
      <c r="Z689" s="3"/>
    </row>
    <row r="690" spans="15:26" x14ac:dyDescent="0.25">
      <c r="O690" s="22"/>
      <c r="T690" s="2"/>
      <c r="V690" s="2"/>
      <c r="Y690" s="1"/>
      <c r="Z690" s="3"/>
    </row>
    <row r="691" spans="15:26" x14ac:dyDescent="0.25">
      <c r="O691" s="22"/>
      <c r="T691" s="2"/>
      <c r="V691" s="2"/>
      <c r="Y691" s="1"/>
      <c r="Z691" s="3"/>
    </row>
    <row r="692" spans="15:26" x14ac:dyDescent="0.25">
      <c r="O692" s="22"/>
      <c r="T692" s="2"/>
      <c r="V692" s="2"/>
      <c r="Y692" s="1"/>
      <c r="Z692" s="3"/>
    </row>
    <row r="693" spans="15:26" x14ac:dyDescent="0.25">
      <c r="O693" s="22"/>
      <c r="T693" s="2"/>
      <c r="V693" s="2"/>
      <c r="Y693" s="1"/>
      <c r="Z693" s="3"/>
    </row>
    <row r="694" spans="15:26" x14ac:dyDescent="0.25">
      <c r="O694" s="22"/>
      <c r="T694" s="2"/>
      <c r="V694" s="2"/>
      <c r="Y694" s="1"/>
      <c r="Z694" s="3"/>
    </row>
    <row r="695" spans="15:26" x14ac:dyDescent="0.25">
      <c r="O695" s="22"/>
      <c r="T695" s="2"/>
      <c r="V695" s="2"/>
      <c r="Y695" s="1"/>
      <c r="Z695" s="3"/>
    </row>
    <row r="696" spans="15:26" x14ac:dyDescent="0.25">
      <c r="O696" s="22"/>
      <c r="T696" s="2"/>
      <c r="V696" s="2"/>
      <c r="Y696" s="1"/>
      <c r="Z696" s="3"/>
    </row>
    <row r="697" spans="15:26" x14ac:dyDescent="0.25">
      <c r="O697" s="22"/>
      <c r="T697" s="2"/>
      <c r="V697" s="2"/>
      <c r="Y697" s="1"/>
      <c r="Z697" s="3"/>
    </row>
    <row r="698" spans="15:26" x14ac:dyDescent="0.25">
      <c r="O698" s="22"/>
      <c r="T698" s="2"/>
      <c r="V698" s="2"/>
      <c r="Y698" s="1"/>
      <c r="Z698" s="3"/>
    </row>
    <row r="699" spans="15:26" x14ac:dyDescent="0.25">
      <c r="O699" s="22"/>
      <c r="T699" s="2"/>
      <c r="V699" s="2"/>
      <c r="Y699" s="1"/>
      <c r="Z699" s="3"/>
    </row>
    <row r="700" spans="15:26" x14ac:dyDescent="0.25">
      <c r="O700" s="22"/>
      <c r="T700" s="2"/>
      <c r="V700" s="2"/>
      <c r="Y700" s="1"/>
      <c r="Z700" s="3"/>
    </row>
    <row r="701" spans="15:26" x14ac:dyDescent="0.25">
      <c r="O701" s="22"/>
      <c r="T701" s="2"/>
      <c r="V701" s="2"/>
      <c r="Y701" s="1"/>
      <c r="Z701" s="3"/>
    </row>
    <row r="702" spans="15:26" x14ac:dyDescent="0.25">
      <c r="O702" s="22"/>
    </row>
    <row r="703" spans="15:26" x14ac:dyDescent="0.25">
      <c r="O703" s="22"/>
    </row>
    <row r="704" spans="15:26" x14ac:dyDescent="0.25">
      <c r="O704" s="22"/>
    </row>
    <row r="705" spans="15:15" x14ac:dyDescent="0.25">
      <c r="O705" s="22"/>
    </row>
    <row r="706" spans="15:15" x14ac:dyDescent="0.25">
      <c r="O706" s="22"/>
    </row>
    <row r="707" spans="15:15" x14ac:dyDescent="0.25">
      <c r="O707" s="22"/>
    </row>
    <row r="708" spans="15:15" x14ac:dyDescent="0.25">
      <c r="O708" s="22"/>
    </row>
    <row r="709" spans="15:15" x14ac:dyDescent="0.25">
      <c r="O709" s="22"/>
    </row>
    <row r="710" spans="15:15" x14ac:dyDescent="0.25">
      <c r="O710" s="22"/>
    </row>
    <row r="711" spans="15:15" x14ac:dyDescent="0.25">
      <c r="O711" s="22"/>
    </row>
    <row r="712" spans="15:15" x14ac:dyDescent="0.25">
      <c r="O712" s="22"/>
    </row>
    <row r="713" spans="15:15" x14ac:dyDescent="0.25">
      <c r="O713" s="22"/>
    </row>
    <row r="714" spans="15:15" x14ac:dyDescent="0.25">
      <c r="O714" s="22"/>
    </row>
    <row r="715" spans="15:15" x14ac:dyDescent="0.25">
      <c r="O715" s="22"/>
    </row>
    <row r="716" spans="15:15" x14ac:dyDescent="0.25">
      <c r="O716" s="22"/>
    </row>
    <row r="717" spans="15:15" x14ac:dyDescent="0.25">
      <c r="O717" s="22"/>
    </row>
    <row r="718" spans="15:15" x14ac:dyDescent="0.25">
      <c r="O718" s="22"/>
    </row>
    <row r="719" spans="15:15" x14ac:dyDescent="0.25">
      <c r="O719" s="22"/>
    </row>
    <row r="720" spans="15:15" x14ac:dyDescent="0.25">
      <c r="O720" s="22"/>
    </row>
    <row r="721" spans="15:15" x14ac:dyDescent="0.25">
      <c r="O721" s="22"/>
    </row>
    <row r="722" spans="15:15" x14ac:dyDescent="0.25">
      <c r="O722" s="22"/>
    </row>
    <row r="723" spans="15:15" x14ac:dyDescent="0.25">
      <c r="O723" s="22"/>
    </row>
    <row r="724" spans="15:15" x14ac:dyDescent="0.25">
      <c r="O724" s="22"/>
    </row>
    <row r="725" spans="15:15" x14ac:dyDescent="0.25">
      <c r="O725" s="22"/>
    </row>
    <row r="726" spans="15:15" x14ac:dyDescent="0.25">
      <c r="O726" s="22"/>
    </row>
    <row r="727" spans="15:15" x14ac:dyDescent="0.25">
      <c r="O727" s="22"/>
    </row>
    <row r="728" spans="15:15" x14ac:dyDescent="0.25">
      <c r="O728" s="22"/>
    </row>
    <row r="729" spans="15:15" x14ac:dyDescent="0.25">
      <c r="O729" s="22"/>
    </row>
    <row r="730" spans="15:15" x14ac:dyDescent="0.25">
      <c r="O730" s="22"/>
    </row>
    <row r="731" spans="15:15" x14ac:dyDescent="0.25">
      <c r="O731" s="22"/>
    </row>
    <row r="732" spans="15:15" x14ac:dyDescent="0.25">
      <c r="O732" s="22"/>
    </row>
    <row r="733" spans="15:15" x14ac:dyDescent="0.25">
      <c r="O733" s="22"/>
    </row>
  </sheetData>
  <conditionalFormatting sqref="O4:P4 Z4:Z152 P5:P106 D106:D152 F106:F152 J106:J152 L106:L152 T106:T152 V106:V152 AF107:AF152 N4:N185 X4 X6:X37 X39:X152 O5:O20">
    <cfRule type="expression" dxfId="65" priority="42">
      <formula>IF(LEN(D4)&gt;_xlfn.NUMBERVALUE(TRIM(LEFT(D$3,3))),TRUE,FALSE)</formula>
    </cfRule>
  </conditionalFormatting>
  <conditionalFormatting sqref="AF524:AF1048576">
    <cfRule type="expression" dxfId="64" priority="41">
      <formula>IF(LEN(AF524)&gt;_xlfn.NUMBERVALUE(TRIM(LEFT(AF$3,3))),TRUE,FALSE)</formula>
    </cfRule>
  </conditionalFormatting>
  <conditionalFormatting sqref="V153:V224">
    <cfRule type="expression" dxfId="63" priority="22">
      <formula>IF(LEN(V153)&gt;_xlfn.NUMBERVALUE(TRIM(LEFT(V$3,3))),TRUE,FALSE)</formula>
    </cfRule>
  </conditionalFormatting>
  <conditionalFormatting sqref="X153:X224">
    <cfRule type="expression" dxfId="62" priority="21">
      <formula>IF(LEN(X153)&gt;_xlfn.NUMBERVALUE(TRIM(LEFT(X$3,3))),TRUE,FALSE)</formula>
    </cfRule>
  </conditionalFormatting>
  <conditionalFormatting sqref="Z153:Z224">
    <cfRule type="expression" dxfId="61" priority="20">
      <formula>IF(LEN(Z153)&gt;_xlfn.NUMBERVALUE(TRIM(LEFT(Z$3,3))),TRUE,FALSE)</formula>
    </cfRule>
  </conditionalFormatting>
  <conditionalFormatting sqref="AF153:AF224">
    <cfRule type="expression" dxfId="60" priority="19">
      <formula>IF(LEN(AF153)&gt;_xlfn.NUMBERVALUE(TRIM(LEFT(AF$3,3))),TRUE,FALSE)</formula>
    </cfRule>
  </conditionalFormatting>
  <conditionalFormatting sqref="T225:T701">
    <cfRule type="expression" dxfId="59" priority="35">
      <formula>IF(LEN(T225)&gt;_xlfn.NUMBERVALUE(TRIM(LEFT(T$3,3))),TRUE,FALSE)</formula>
    </cfRule>
  </conditionalFormatting>
  <conditionalFormatting sqref="V225:V701">
    <cfRule type="expression" dxfId="58" priority="34">
      <formula>IF(LEN(V225)&gt;_xlfn.NUMBERVALUE(TRIM(LEFT(V$3,3))),TRUE,FALSE)</formula>
    </cfRule>
  </conditionalFormatting>
  <conditionalFormatting sqref="X225:X701">
    <cfRule type="expression" dxfId="57" priority="33">
      <formula>IF(LEN(X225)&gt;_xlfn.NUMBERVALUE(TRIM(LEFT(X$3,3))),TRUE,FALSE)</formula>
    </cfRule>
  </conditionalFormatting>
  <conditionalFormatting sqref="Z225:Z523">
    <cfRule type="expression" dxfId="56" priority="29">
      <formula>IF(LEN(Z225)&gt;_xlfn.NUMBERVALUE(TRIM(LEFT(Z$3,3))),TRUE,FALSE)</formula>
    </cfRule>
  </conditionalFormatting>
  <conditionalFormatting sqref="AF225:AF523">
    <cfRule type="expression" dxfId="55" priority="28">
      <formula>IF(LEN(AF225)&gt;_xlfn.NUMBERVALUE(TRIM(LEFT(AF$3,3))),TRUE,FALSE)</formula>
    </cfRule>
  </conditionalFormatting>
  <conditionalFormatting sqref="D153:D224">
    <cfRule type="expression" dxfId="54" priority="27">
      <formula>IF(LEN(D153)&gt;_xlfn.NUMBERVALUE(TRIM(LEFT(D$3,3))),TRUE,FALSE)</formula>
    </cfRule>
  </conditionalFormatting>
  <conditionalFormatting sqref="F153:F224">
    <cfRule type="expression" dxfId="53" priority="26">
      <formula>IF(LEN(F153)&gt;_xlfn.NUMBERVALUE(TRIM(LEFT(F$3,3))),TRUE,FALSE)</formula>
    </cfRule>
  </conditionalFormatting>
  <conditionalFormatting sqref="J153:J224">
    <cfRule type="expression" dxfId="52" priority="25">
      <formula>IF(LEN(J153)&gt;_xlfn.NUMBERVALUE(TRIM(LEFT(J$3,3))),TRUE,FALSE)</formula>
    </cfRule>
  </conditionalFormatting>
  <conditionalFormatting sqref="L153:L224">
    <cfRule type="expression" dxfId="51" priority="24">
      <formula>IF(LEN(L153)&gt;_xlfn.NUMBERVALUE(TRIM(LEFT(L$3,3))),TRUE,FALSE)</formula>
    </cfRule>
  </conditionalFormatting>
  <conditionalFormatting sqref="T153:T224">
    <cfRule type="expression" dxfId="50" priority="23">
      <formula>IF(LEN(T153)&gt;_xlfn.NUMBERVALUE(TRIM(LEFT(T$3,3))),TRUE,FALSE)</formula>
    </cfRule>
  </conditionalFormatting>
  <conditionalFormatting sqref="D4:D105">
    <cfRule type="expression" dxfId="49" priority="9">
      <formula>IF(LEN(D4)&gt;_xlfn.NUMBERVALUE(TRIM(LEFT(D$3,3))),TRUE,FALSE)</formula>
    </cfRule>
  </conditionalFormatting>
  <conditionalFormatting sqref="F4:F105">
    <cfRule type="expression" dxfId="48" priority="8">
      <formula>IF(LEN(F4)&gt;_xlfn.NUMBERVALUE(TRIM(LEFT(F$3,3))),TRUE,FALSE)</formula>
    </cfRule>
  </conditionalFormatting>
  <conditionalFormatting sqref="J4:J105">
    <cfRule type="expression" dxfId="47" priority="7">
      <formula>IF(LEN(J4)&gt;_xlfn.NUMBERVALUE(TRIM(LEFT(J$3,3))),TRUE,FALSE)</formula>
    </cfRule>
  </conditionalFormatting>
  <conditionalFormatting sqref="L4:L105">
    <cfRule type="expression" dxfId="46" priority="6">
      <formula>IF(LEN(L4)&gt;_xlfn.NUMBERVALUE(TRIM(LEFT(L$3,3))),TRUE,FALSE)</formula>
    </cfRule>
  </conditionalFormatting>
  <conditionalFormatting sqref="V4:V105">
    <cfRule type="expression" dxfId="45" priority="4">
      <formula>IF(LEN(V4)&gt;_xlfn.NUMBERVALUE(TRIM(LEFT(V$3,3))),TRUE,FALSE)</formula>
    </cfRule>
  </conditionalFormatting>
  <conditionalFormatting sqref="T4:T105">
    <cfRule type="expression" dxfId="44" priority="5">
      <formula>IF(LEN(T4)&gt;_xlfn.NUMBERVALUE(TRIM(LEFT(T$3,3))),TRUE,FALSE)</formula>
    </cfRule>
  </conditionalFormatting>
  <conditionalFormatting sqref="AF106">
    <cfRule type="expression" dxfId="43" priority="3">
      <formula>IF(LEN(AF106)&gt;_xlfn.NUMBERVALUE(TRIM(LEFT(AF$3,3))),TRUE,FALSE)</formula>
    </cfRule>
  </conditionalFormatting>
  <conditionalFormatting sqref="AF4:AF105">
    <cfRule type="expression" dxfId="42" priority="2">
      <formula>IF(LEN(AF4)&gt;_xlfn.NUMBERVALUE(TRIM(LEFT(AF$3,3))),TRUE,FALSE)</formula>
    </cfRule>
  </conditionalFormatting>
  <conditionalFormatting sqref="X38">
    <cfRule type="expression" dxfId="41" priority="1">
      <formula>IF(LEN(X38)&gt;_xlfn.NUMBERVALUE(TRIM(LEFT(X$3,3))),TRUE,FALSE)</formula>
    </cfRule>
  </conditionalFormatting>
  <dataValidations xWindow="1566" yWindow="490" count="6">
    <dataValidation type="list" allowBlank="1" showInputMessage="1" showErrorMessage="1" errorTitle="Invalid Country" prompt="Select a Country" sqref="X702:X1048576 Z524:Z701">
      <formula1>Country</formula1>
    </dataValidation>
    <dataValidation type="list" allowBlank="1" showInputMessage="1" showErrorMessage="1" errorTitle="Invalid Organization Type" promptTitle="Select an Organization Type" sqref="H232:H1048576 H4:H228">
      <formula1>OrganizationType</formula1>
    </dataValidation>
    <dataValidation type="list" allowBlank="1" showInputMessage="1" showErrorMessage="1" sqref="P107:P224">
      <formula1>"Owned by State, Leased by State, No Longer Leased by State"</formula1>
    </dataValidation>
    <dataValidation type="list" allowBlank="1" showInputMessage="1" showErrorMessage="1" sqref="P4:P106">
      <formula1>"Property Owned by State, Property Leased by State, No Longer Leased by State"</formula1>
    </dataValidation>
    <dataValidation type="list" allowBlank="1" showInputMessage="1" showErrorMessage="1" sqref="AD4:AD1048576">
      <formula1>FloorAreaUnit</formula1>
    </dataValidation>
    <dataValidation allowBlank="1" showInputMessage="1" showErrorMessage="1" errorTitle="Data Validation" error="Data must be numeric and between 0 and 99999999." sqref="AB4:AB1048576"/>
  </dataValidations>
  <pageMargins left="0.7" right="0.7" top="0.75" bottom="0.75" header="0.3" footer="0.3"/>
  <pageSetup scale="39" orientation="landscape" r:id="rId1"/>
  <tableParts count="1">
    <tablePart r:id="rId2"/>
  </tableParts>
  <extLst>
    <ext xmlns:x14="http://schemas.microsoft.com/office/spreadsheetml/2009/9/main" uri="{CCE6A557-97BC-4b89-ADB6-D9C93CAAB3DF}">
      <x14:dataValidations xmlns:xm="http://schemas.microsoft.com/office/excel/2006/main" xWindow="1566" yWindow="490" count="6">
        <x14:dataValidation type="list" allowBlank="1" showInputMessage="1" showErrorMessage="1">
          <x14:formula1>
            <xm:f>'STEP 1-B. Natural Gas Meters'!$D$3:$D$7</xm:f>
          </x14:formula1>
          <xm:sqref>Q225</xm:sqref>
        </x14:dataValidation>
        <x14:dataValidation type="list" allowBlank="1" showInputMessage="1" showErrorMessage="1">
          <x14:formula1>
            <xm:f>'STEP 1-A. Electric Meters'!$F$3:$F$8</xm:f>
          </x14:formula1>
          <xm:sqref>Q107:Q224</xm:sqref>
        </x14:dataValidation>
        <x14:dataValidation type="list" allowBlank="1" showInputMessage="1" showErrorMessage="1">
          <x14:formula1>
            <xm:f>'STEP 1-A. Electric Meters'!$D$3:$D$202</xm:f>
          </x14:formula1>
          <xm:sqref>P225</xm:sqref>
        </x14:dataValidation>
        <x14:dataValidation type="list" allowBlank="1" showInputMessage="1" showErrorMessage="1">
          <x14:formula1>
            <xm:f>'STEP 1-A. Electric Meters'!$F$3:$F$69</xm:f>
          </x14:formula1>
          <xm:sqref>Q4:Q106</xm:sqref>
        </x14:dataValidation>
        <x14:dataValidation type="list" allowBlank="1" showInputMessage="1" showErrorMessage="1">
          <x14:formula1>
            <xm:f>'STEP 1-B. Natural Gas Meters'!$F$3:$F$7</xm:f>
          </x14:formula1>
          <xm:sqref>R4:R224</xm:sqref>
        </x14:dataValidation>
        <x14:dataValidation type="list" allowBlank="1" showInputMessage="1" showErrorMessage="1">
          <x14:formula1>
            <xm:f>'Prefered Primary Use List'!$A$2:$A$119</xm:f>
          </x14:formula1>
          <xm:sqref>AH4:AH224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sheetPr>
  <dimension ref="A1:B119"/>
  <sheetViews>
    <sheetView workbookViewId="0">
      <selection activeCell="F10" sqref="F10"/>
    </sheetView>
  </sheetViews>
  <sheetFormatPr defaultRowHeight="15" x14ac:dyDescent="0.25"/>
  <cols>
    <col min="1" max="1" width="57" customWidth="1"/>
    <col min="2" max="2" width="81.28515625" customWidth="1"/>
  </cols>
  <sheetData>
    <row r="1" spans="1:2" x14ac:dyDescent="0.25">
      <c r="A1" s="17" t="s">
        <v>505</v>
      </c>
      <c r="B1" s="64" t="s">
        <v>506</v>
      </c>
    </row>
    <row r="2" spans="1:2" ht="45" x14ac:dyDescent="0.25">
      <c r="A2" s="18" t="s">
        <v>236</v>
      </c>
      <c r="B2" s="64" t="s">
        <v>344</v>
      </c>
    </row>
    <row r="3" spans="1:2" x14ac:dyDescent="0.25">
      <c r="A3" s="18" t="s">
        <v>237</v>
      </c>
      <c r="B3" s="64" t="s">
        <v>345</v>
      </c>
    </row>
    <row r="4" spans="1:2" ht="30" x14ac:dyDescent="0.25">
      <c r="A4" s="18" t="s">
        <v>238</v>
      </c>
      <c r="B4" s="64" t="s">
        <v>346</v>
      </c>
    </row>
    <row r="5" spans="1:2" x14ac:dyDescent="0.25">
      <c r="A5" s="18" t="s">
        <v>239</v>
      </c>
      <c r="B5" s="64" t="s">
        <v>347</v>
      </c>
    </row>
    <row r="6" spans="1:2" x14ac:dyDescent="0.25">
      <c r="A6" s="18" t="s">
        <v>240</v>
      </c>
      <c r="B6" s="64" t="s">
        <v>348</v>
      </c>
    </row>
    <row r="7" spans="1:2" ht="30" x14ac:dyDescent="0.25">
      <c r="A7" s="18" t="s">
        <v>241</v>
      </c>
      <c r="B7" s="64" t="s">
        <v>349</v>
      </c>
    </row>
    <row r="8" spans="1:2" ht="30" x14ac:dyDescent="0.25">
      <c r="A8" s="18" t="s">
        <v>242</v>
      </c>
      <c r="B8" s="64" t="s">
        <v>350</v>
      </c>
    </row>
    <row r="9" spans="1:2" ht="30" x14ac:dyDescent="0.25">
      <c r="A9" s="18" t="s">
        <v>243</v>
      </c>
      <c r="B9" s="64" t="s">
        <v>351</v>
      </c>
    </row>
    <row r="10" spans="1:2" ht="75" x14ac:dyDescent="0.25">
      <c r="A10" s="18" t="s">
        <v>244</v>
      </c>
      <c r="B10" s="64" t="s">
        <v>352</v>
      </c>
    </row>
    <row r="11" spans="1:2" x14ac:dyDescent="0.25">
      <c r="A11" s="18" t="s">
        <v>245</v>
      </c>
      <c r="B11" s="64" t="s">
        <v>353</v>
      </c>
    </row>
    <row r="12" spans="1:2" ht="30" x14ac:dyDescent="0.25">
      <c r="A12" s="18" t="s">
        <v>246</v>
      </c>
      <c r="B12" s="64" t="s">
        <v>354</v>
      </c>
    </row>
    <row r="13" spans="1:2" ht="30" x14ac:dyDescent="0.25">
      <c r="A13" s="18" t="s">
        <v>247</v>
      </c>
      <c r="B13" s="64" t="s">
        <v>355</v>
      </c>
    </row>
    <row r="14" spans="1:2" ht="30" x14ac:dyDescent="0.25">
      <c r="A14" s="18" t="s">
        <v>248</v>
      </c>
      <c r="B14" s="64" t="s">
        <v>356</v>
      </c>
    </row>
    <row r="15" spans="1:2" ht="30" x14ac:dyDescent="0.25">
      <c r="A15" s="18" t="s">
        <v>249</v>
      </c>
      <c r="B15" s="64" t="s">
        <v>357</v>
      </c>
    </row>
    <row r="16" spans="1:2" x14ac:dyDescent="0.25">
      <c r="A16" s="18" t="s">
        <v>250</v>
      </c>
      <c r="B16" s="64" t="s">
        <v>358</v>
      </c>
    </row>
    <row r="17" spans="1:2" ht="30" x14ac:dyDescent="0.25">
      <c r="A17" s="18" t="s">
        <v>251</v>
      </c>
      <c r="B17" s="64" t="s">
        <v>359</v>
      </c>
    </row>
    <row r="18" spans="1:2" x14ac:dyDescent="0.25">
      <c r="A18" s="18" t="s">
        <v>252</v>
      </c>
      <c r="B18" s="64" t="s">
        <v>360</v>
      </c>
    </row>
    <row r="19" spans="1:2" ht="60" x14ac:dyDescent="0.25">
      <c r="A19" s="18" t="s">
        <v>253</v>
      </c>
      <c r="B19" s="64" t="s">
        <v>361</v>
      </c>
    </row>
    <row r="20" spans="1:2" ht="45" x14ac:dyDescent="0.25">
      <c r="A20" s="18" t="s">
        <v>254</v>
      </c>
      <c r="B20" s="64" t="s">
        <v>362</v>
      </c>
    </row>
    <row r="21" spans="1:2" ht="75" x14ac:dyDescent="0.25">
      <c r="A21" s="18" t="s">
        <v>255</v>
      </c>
      <c r="B21" s="64" t="s">
        <v>363</v>
      </c>
    </row>
    <row r="22" spans="1:2" ht="45" x14ac:dyDescent="0.25">
      <c r="A22" s="18" t="s">
        <v>256</v>
      </c>
      <c r="B22" s="64" t="s">
        <v>364</v>
      </c>
    </row>
    <row r="23" spans="1:2" ht="150" x14ac:dyDescent="0.25">
      <c r="A23" s="18" t="s">
        <v>257</v>
      </c>
      <c r="B23" s="64" t="s">
        <v>365</v>
      </c>
    </row>
    <row r="24" spans="1:2" ht="45" x14ac:dyDescent="0.25">
      <c r="A24" s="18" t="s">
        <v>258</v>
      </c>
      <c r="B24" s="64" t="s">
        <v>366</v>
      </c>
    </row>
    <row r="25" spans="1:2" ht="45" x14ac:dyDescent="0.25">
      <c r="A25" s="18" t="s">
        <v>259</v>
      </c>
      <c r="B25" s="64" t="s">
        <v>367</v>
      </c>
    </row>
    <row r="26" spans="1:2" ht="30" x14ac:dyDescent="0.25">
      <c r="A26" s="18" t="s">
        <v>228</v>
      </c>
      <c r="B26" s="64" t="s">
        <v>368</v>
      </c>
    </row>
    <row r="27" spans="1:2" ht="75" x14ac:dyDescent="0.25">
      <c r="A27" s="18" t="s">
        <v>260</v>
      </c>
      <c r="B27" s="64" t="s">
        <v>369</v>
      </c>
    </row>
    <row r="28" spans="1:2" ht="45" x14ac:dyDescent="0.25">
      <c r="A28" s="18" t="s">
        <v>261</v>
      </c>
      <c r="B28" s="64" t="s">
        <v>370</v>
      </c>
    </row>
    <row r="29" spans="1:2" ht="75" x14ac:dyDescent="0.25">
      <c r="A29" s="18" t="s">
        <v>262</v>
      </c>
      <c r="B29" s="64" t="s">
        <v>371</v>
      </c>
    </row>
    <row r="30" spans="1:2" ht="60" x14ac:dyDescent="0.25">
      <c r="A30" s="18" t="s">
        <v>263</v>
      </c>
      <c r="B30" s="64" t="s">
        <v>372</v>
      </c>
    </row>
    <row r="31" spans="1:2" ht="30" x14ac:dyDescent="0.25">
      <c r="A31" s="18" t="s">
        <v>264</v>
      </c>
      <c r="B31" s="64" t="s">
        <v>373</v>
      </c>
    </row>
    <row r="32" spans="1:2" ht="30" x14ac:dyDescent="0.25">
      <c r="A32" s="18" t="s">
        <v>224</v>
      </c>
      <c r="B32" s="64" t="s">
        <v>374</v>
      </c>
    </row>
    <row r="33" spans="1:2" ht="45" x14ac:dyDescent="0.25">
      <c r="A33" s="18" t="s">
        <v>265</v>
      </c>
      <c r="B33" s="64" t="s">
        <v>375</v>
      </c>
    </row>
    <row r="34" spans="1:2" ht="30" x14ac:dyDescent="0.25">
      <c r="A34" s="18" t="s">
        <v>266</v>
      </c>
      <c r="B34" s="64" t="s">
        <v>376</v>
      </c>
    </row>
    <row r="35" spans="1:2" ht="60" x14ac:dyDescent="0.25">
      <c r="A35" s="18" t="s">
        <v>267</v>
      </c>
      <c r="B35" s="64" t="s">
        <v>377</v>
      </c>
    </row>
    <row r="36" spans="1:2" ht="45" x14ac:dyDescent="0.25">
      <c r="A36" s="18" t="s">
        <v>268</v>
      </c>
      <c r="B36" s="64" t="s">
        <v>378</v>
      </c>
    </row>
    <row r="37" spans="1:2" x14ac:dyDescent="0.25">
      <c r="A37" s="18" t="s">
        <v>269</v>
      </c>
      <c r="B37" s="64" t="s">
        <v>379</v>
      </c>
    </row>
    <row r="38" spans="1:2" ht="45" x14ac:dyDescent="0.25">
      <c r="A38" s="18" t="s">
        <v>270</v>
      </c>
      <c r="B38" s="64" t="s">
        <v>380</v>
      </c>
    </row>
    <row r="39" spans="1:2" x14ac:dyDescent="0.25">
      <c r="A39" s="18" t="s">
        <v>229</v>
      </c>
      <c r="B39" s="64" t="s">
        <v>381</v>
      </c>
    </row>
    <row r="40" spans="1:2" x14ac:dyDescent="0.25">
      <c r="A40" s="18" t="s">
        <v>251</v>
      </c>
      <c r="B40" s="64" t="s">
        <v>382</v>
      </c>
    </row>
    <row r="41" spans="1:2" ht="135" x14ac:dyDescent="0.25">
      <c r="A41" s="18" t="s">
        <v>271</v>
      </c>
      <c r="B41" s="64" t="s">
        <v>383</v>
      </c>
    </row>
    <row r="42" spans="1:2" ht="135" x14ac:dyDescent="0.25">
      <c r="A42" s="18" t="s">
        <v>272</v>
      </c>
      <c r="B42" s="64" t="s">
        <v>384</v>
      </c>
    </row>
    <row r="43" spans="1:2" ht="30" x14ac:dyDescent="0.25">
      <c r="A43" s="18" t="s">
        <v>273</v>
      </c>
      <c r="B43" s="64" t="s">
        <v>385</v>
      </c>
    </row>
    <row r="44" spans="1:2" ht="60" x14ac:dyDescent="0.25">
      <c r="A44" s="18" t="s">
        <v>274</v>
      </c>
      <c r="B44" s="64" t="s">
        <v>386</v>
      </c>
    </row>
    <row r="45" spans="1:2" ht="75" x14ac:dyDescent="0.25">
      <c r="A45" s="18" t="s">
        <v>275</v>
      </c>
      <c r="B45" s="64" t="s">
        <v>387</v>
      </c>
    </row>
    <row r="46" spans="1:2" x14ac:dyDescent="0.25">
      <c r="A46" s="18" t="s">
        <v>276</v>
      </c>
      <c r="B46" s="64" t="s">
        <v>388</v>
      </c>
    </row>
    <row r="47" spans="1:2" x14ac:dyDescent="0.25">
      <c r="A47" s="18" t="s">
        <v>277</v>
      </c>
      <c r="B47" s="64" t="s">
        <v>389</v>
      </c>
    </row>
    <row r="48" spans="1:2" ht="60" x14ac:dyDescent="0.25">
      <c r="A48" s="18" t="s">
        <v>278</v>
      </c>
      <c r="B48" s="64" t="s">
        <v>390</v>
      </c>
    </row>
    <row r="49" spans="1:2" ht="45" x14ac:dyDescent="0.25">
      <c r="A49" s="18" t="s">
        <v>279</v>
      </c>
      <c r="B49" s="64" t="s">
        <v>391</v>
      </c>
    </row>
    <row r="50" spans="1:2" ht="60" x14ac:dyDescent="0.25">
      <c r="A50" s="18" t="s">
        <v>280</v>
      </c>
      <c r="B50" s="64" t="s">
        <v>392</v>
      </c>
    </row>
    <row r="51" spans="1:2" ht="75" x14ac:dyDescent="0.25">
      <c r="A51" s="18" t="s">
        <v>281</v>
      </c>
      <c r="B51" s="64" t="s">
        <v>393</v>
      </c>
    </row>
    <row r="52" spans="1:2" ht="45" x14ac:dyDescent="0.25">
      <c r="A52" s="18" t="s">
        <v>282</v>
      </c>
      <c r="B52" s="64" t="s">
        <v>394</v>
      </c>
    </row>
    <row r="53" spans="1:2" ht="45" x14ac:dyDescent="0.25">
      <c r="A53" s="18" t="s">
        <v>283</v>
      </c>
      <c r="B53" s="64" t="s">
        <v>395</v>
      </c>
    </row>
    <row r="54" spans="1:2" x14ac:dyDescent="0.25">
      <c r="A54" s="18" t="s">
        <v>284</v>
      </c>
      <c r="B54" s="64" t="s">
        <v>396</v>
      </c>
    </row>
    <row r="55" spans="1:2" ht="30" x14ac:dyDescent="0.25">
      <c r="A55" s="18" t="s">
        <v>285</v>
      </c>
      <c r="B55" s="64" t="s">
        <v>397</v>
      </c>
    </row>
    <row r="56" spans="1:2" ht="30" x14ac:dyDescent="0.25">
      <c r="A56" s="18" t="s">
        <v>286</v>
      </c>
      <c r="B56" s="64" t="s">
        <v>398</v>
      </c>
    </row>
    <row r="57" spans="1:2" x14ac:dyDescent="0.25">
      <c r="A57" s="18" t="s">
        <v>287</v>
      </c>
      <c r="B57" s="64" t="s">
        <v>399</v>
      </c>
    </row>
    <row r="58" spans="1:2" ht="60" x14ac:dyDescent="0.25">
      <c r="A58" s="18" t="s">
        <v>288</v>
      </c>
      <c r="B58" s="64" t="s">
        <v>400</v>
      </c>
    </row>
    <row r="59" spans="1:2" ht="30" x14ac:dyDescent="0.25">
      <c r="A59" s="18" t="s">
        <v>289</v>
      </c>
      <c r="B59" s="64" t="s">
        <v>401</v>
      </c>
    </row>
    <row r="60" spans="1:2" ht="30" x14ac:dyDescent="0.25">
      <c r="A60" s="18" t="s">
        <v>290</v>
      </c>
      <c r="B60" s="64" t="s">
        <v>402</v>
      </c>
    </row>
    <row r="61" spans="1:2" ht="30" x14ac:dyDescent="0.25">
      <c r="A61" s="18" t="s">
        <v>269</v>
      </c>
      <c r="B61" s="64" t="s">
        <v>403</v>
      </c>
    </row>
    <row r="62" spans="1:2" ht="60" x14ac:dyDescent="0.25">
      <c r="A62" s="18" t="s">
        <v>2</v>
      </c>
      <c r="B62" s="64" t="s">
        <v>404</v>
      </c>
    </row>
    <row r="63" spans="1:2" ht="60" x14ac:dyDescent="0.25">
      <c r="A63" s="18" t="s">
        <v>291</v>
      </c>
      <c r="B63" s="64" t="s">
        <v>405</v>
      </c>
    </row>
    <row r="64" spans="1:2" ht="60" x14ac:dyDescent="0.25">
      <c r="A64" s="18" t="s">
        <v>292</v>
      </c>
      <c r="B64" s="64" t="s">
        <v>406</v>
      </c>
    </row>
    <row r="65" spans="1:2" ht="60" x14ac:dyDescent="0.25">
      <c r="A65" s="18" t="s">
        <v>293</v>
      </c>
      <c r="B65" s="64" t="s">
        <v>407</v>
      </c>
    </row>
    <row r="66" spans="1:2" ht="45" x14ac:dyDescent="0.25">
      <c r="A66" s="18" t="s">
        <v>294</v>
      </c>
      <c r="B66" s="64" t="s">
        <v>408</v>
      </c>
    </row>
    <row r="67" spans="1:2" ht="105" x14ac:dyDescent="0.25">
      <c r="A67" s="18" t="s">
        <v>295</v>
      </c>
      <c r="B67" s="64" t="s">
        <v>409</v>
      </c>
    </row>
    <row r="68" spans="1:2" ht="30" x14ac:dyDescent="0.25">
      <c r="A68" s="18" t="s">
        <v>296</v>
      </c>
      <c r="B68" s="64" t="s">
        <v>410</v>
      </c>
    </row>
    <row r="69" spans="1:2" ht="45" x14ac:dyDescent="0.25">
      <c r="A69" s="18" t="s">
        <v>297</v>
      </c>
      <c r="B69" s="64" t="s">
        <v>411</v>
      </c>
    </row>
    <row r="70" spans="1:2" ht="45" x14ac:dyDescent="0.25">
      <c r="A70" s="18" t="s">
        <v>298</v>
      </c>
      <c r="B70" s="64" t="s">
        <v>412</v>
      </c>
    </row>
    <row r="71" spans="1:2" ht="30" x14ac:dyDescent="0.25">
      <c r="A71" s="18" t="s">
        <v>299</v>
      </c>
      <c r="B71" s="64" t="s">
        <v>413</v>
      </c>
    </row>
    <row r="72" spans="1:2" ht="30" x14ac:dyDescent="0.25">
      <c r="A72" s="18" t="s">
        <v>300</v>
      </c>
      <c r="B72" s="64" t="s">
        <v>414</v>
      </c>
    </row>
    <row r="73" spans="1:2" ht="75" x14ac:dyDescent="0.25">
      <c r="A73" s="18" t="s">
        <v>301</v>
      </c>
      <c r="B73" s="64" t="s">
        <v>415</v>
      </c>
    </row>
    <row r="74" spans="1:2" ht="45" x14ac:dyDescent="0.25">
      <c r="A74" s="18" t="s">
        <v>302</v>
      </c>
      <c r="B74" s="64" t="s">
        <v>416</v>
      </c>
    </row>
    <row r="75" spans="1:2" ht="30" x14ac:dyDescent="0.25">
      <c r="A75" s="18" t="s">
        <v>303</v>
      </c>
      <c r="B75" s="64" t="s">
        <v>417</v>
      </c>
    </row>
    <row r="76" spans="1:2" ht="30" x14ac:dyDescent="0.25">
      <c r="A76" s="18" t="s">
        <v>304</v>
      </c>
      <c r="B76" s="64" t="s">
        <v>418</v>
      </c>
    </row>
    <row r="77" spans="1:2" ht="90" x14ac:dyDescent="0.25">
      <c r="A77" s="18" t="s">
        <v>305</v>
      </c>
      <c r="B77" s="64" t="s">
        <v>419</v>
      </c>
    </row>
    <row r="78" spans="1:2" ht="30" x14ac:dyDescent="0.25">
      <c r="A78" s="18" t="s">
        <v>306</v>
      </c>
      <c r="B78" s="64" t="s">
        <v>420</v>
      </c>
    </row>
    <row r="79" spans="1:2" ht="30" x14ac:dyDescent="0.25">
      <c r="A79" s="18" t="s">
        <v>307</v>
      </c>
      <c r="B79" s="64" t="s">
        <v>421</v>
      </c>
    </row>
    <row r="80" spans="1:2" ht="30" x14ac:dyDescent="0.25">
      <c r="A80" s="18" t="s">
        <v>223</v>
      </c>
      <c r="B80" s="64" t="s">
        <v>422</v>
      </c>
    </row>
    <row r="81" spans="1:2" ht="30" x14ac:dyDescent="0.25">
      <c r="A81" s="18" t="s">
        <v>308</v>
      </c>
      <c r="B81" s="64" t="s">
        <v>423</v>
      </c>
    </row>
    <row r="82" spans="1:2" ht="30" x14ac:dyDescent="0.25">
      <c r="A82" s="18" t="s">
        <v>309</v>
      </c>
      <c r="B82" s="64" t="s">
        <v>424</v>
      </c>
    </row>
    <row r="83" spans="1:2" x14ac:dyDescent="0.25">
      <c r="A83" s="18" t="s">
        <v>310</v>
      </c>
      <c r="B83" s="64" t="s">
        <v>425</v>
      </c>
    </row>
    <row r="84" spans="1:2" x14ac:dyDescent="0.25">
      <c r="A84" s="18" t="s">
        <v>311</v>
      </c>
      <c r="B84" s="64" t="s">
        <v>426</v>
      </c>
    </row>
    <row r="85" spans="1:2" ht="30" x14ac:dyDescent="0.25">
      <c r="A85" s="18" t="s">
        <v>312</v>
      </c>
      <c r="B85" s="64" t="s">
        <v>427</v>
      </c>
    </row>
    <row r="86" spans="1:2" ht="30" x14ac:dyDescent="0.25">
      <c r="A86" s="18" t="s">
        <v>313</v>
      </c>
      <c r="B86" s="64" t="s">
        <v>428</v>
      </c>
    </row>
    <row r="87" spans="1:2" ht="45" x14ac:dyDescent="0.25">
      <c r="A87" s="18" t="s">
        <v>314</v>
      </c>
      <c r="B87" s="64" t="s">
        <v>429</v>
      </c>
    </row>
    <row r="88" spans="1:2" ht="45" x14ac:dyDescent="0.25">
      <c r="A88" s="18" t="s">
        <v>315</v>
      </c>
      <c r="B88" s="64" t="s">
        <v>430</v>
      </c>
    </row>
    <row r="89" spans="1:2" ht="105" x14ac:dyDescent="0.25">
      <c r="A89" s="18" t="s">
        <v>316</v>
      </c>
      <c r="B89" s="64" t="s">
        <v>431</v>
      </c>
    </row>
    <row r="90" spans="1:2" ht="45" x14ac:dyDescent="0.25">
      <c r="A90" s="18" t="s">
        <v>317</v>
      </c>
      <c r="B90" s="64" t="s">
        <v>432</v>
      </c>
    </row>
    <row r="91" spans="1:2" x14ac:dyDescent="0.25">
      <c r="A91" s="18" t="s">
        <v>318</v>
      </c>
      <c r="B91" s="64" t="s">
        <v>433</v>
      </c>
    </row>
    <row r="92" spans="1:2" ht="60" x14ac:dyDescent="0.25">
      <c r="A92" s="18" t="s">
        <v>319</v>
      </c>
      <c r="B92" s="64" t="s">
        <v>434</v>
      </c>
    </row>
    <row r="93" spans="1:2" x14ac:dyDescent="0.25">
      <c r="A93" s="18" t="s">
        <v>320</v>
      </c>
      <c r="B93" s="64" t="s">
        <v>435</v>
      </c>
    </row>
    <row r="94" spans="1:2" ht="30" x14ac:dyDescent="0.25">
      <c r="A94" s="18" t="s">
        <v>321</v>
      </c>
      <c r="B94" s="64" t="s">
        <v>436</v>
      </c>
    </row>
    <row r="95" spans="1:2" x14ac:dyDescent="0.25">
      <c r="A95" s="18" t="s">
        <v>322</v>
      </c>
      <c r="B95" s="64" t="s">
        <v>437</v>
      </c>
    </row>
    <row r="96" spans="1:2" ht="45" x14ac:dyDescent="0.25">
      <c r="A96" s="18" t="s">
        <v>323</v>
      </c>
      <c r="B96" s="64" t="s">
        <v>438</v>
      </c>
    </row>
    <row r="97" spans="1:2" ht="30" x14ac:dyDescent="0.25">
      <c r="A97" s="18" t="s">
        <v>324</v>
      </c>
      <c r="B97" s="64" t="s">
        <v>439</v>
      </c>
    </row>
    <row r="98" spans="1:2" x14ac:dyDescent="0.25">
      <c r="A98" s="18" t="s">
        <v>325</v>
      </c>
      <c r="B98" s="64" t="s">
        <v>440</v>
      </c>
    </row>
    <row r="99" spans="1:2" x14ac:dyDescent="0.25">
      <c r="A99" s="18" t="s">
        <v>227</v>
      </c>
      <c r="B99" s="64" t="s">
        <v>441</v>
      </c>
    </row>
    <row r="100" spans="1:2" x14ac:dyDescent="0.25">
      <c r="A100" s="18" t="s">
        <v>326</v>
      </c>
      <c r="B100" s="64" t="s">
        <v>442</v>
      </c>
    </row>
    <row r="101" spans="1:2" ht="30" x14ac:dyDescent="0.25">
      <c r="A101" s="18" t="s">
        <v>327</v>
      </c>
      <c r="B101" s="64" t="s">
        <v>443</v>
      </c>
    </row>
    <row r="102" spans="1:2" ht="60" x14ac:dyDescent="0.25">
      <c r="A102" s="18" t="s">
        <v>328</v>
      </c>
      <c r="B102" s="64" t="s">
        <v>444</v>
      </c>
    </row>
    <row r="103" spans="1:2" ht="75" x14ac:dyDescent="0.25">
      <c r="A103" s="18" t="s">
        <v>329</v>
      </c>
      <c r="B103" s="64" t="s">
        <v>445</v>
      </c>
    </row>
    <row r="104" spans="1:2" ht="75" x14ac:dyDescent="0.25">
      <c r="A104" s="18" t="s">
        <v>330</v>
      </c>
      <c r="B104" s="64" t="s">
        <v>446</v>
      </c>
    </row>
    <row r="105" spans="1:2" x14ac:dyDescent="0.25">
      <c r="A105" s="18" t="s">
        <v>226</v>
      </c>
      <c r="B105" s="64" t="s">
        <v>447</v>
      </c>
    </row>
    <row r="106" spans="1:2" ht="45" x14ac:dyDescent="0.25">
      <c r="A106" s="18" t="s">
        <v>331</v>
      </c>
      <c r="B106" s="64" t="s">
        <v>448</v>
      </c>
    </row>
    <row r="107" spans="1:2" ht="60" x14ac:dyDescent="0.25">
      <c r="A107" s="18" t="s">
        <v>332</v>
      </c>
      <c r="B107" s="64" t="s">
        <v>449</v>
      </c>
    </row>
    <row r="108" spans="1:2" x14ac:dyDescent="0.25">
      <c r="A108" s="18" t="s">
        <v>333</v>
      </c>
      <c r="B108" s="64" t="s">
        <v>450</v>
      </c>
    </row>
    <row r="109" spans="1:2" ht="75" x14ac:dyDescent="0.25">
      <c r="A109" s="18" t="s">
        <v>334</v>
      </c>
      <c r="B109" s="64" t="s">
        <v>451</v>
      </c>
    </row>
    <row r="110" spans="1:2" ht="60" x14ac:dyDescent="0.25">
      <c r="A110" s="18" t="s">
        <v>335</v>
      </c>
      <c r="B110" s="64" t="s">
        <v>452</v>
      </c>
    </row>
    <row r="111" spans="1:2" x14ac:dyDescent="0.25">
      <c r="A111" s="18" t="s">
        <v>182</v>
      </c>
      <c r="B111" s="64" t="s">
        <v>453</v>
      </c>
    </row>
    <row r="112" spans="1:2" ht="30" x14ac:dyDescent="0.25">
      <c r="A112" s="18" t="s">
        <v>336</v>
      </c>
      <c r="B112" s="64" t="s">
        <v>454</v>
      </c>
    </row>
    <row r="113" spans="1:2" ht="30" x14ac:dyDescent="0.25">
      <c r="A113" s="18" t="s">
        <v>337</v>
      </c>
      <c r="B113" s="64" t="s">
        <v>455</v>
      </c>
    </row>
    <row r="114" spans="1:2" ht="45" x14ac:dyDescent="0.25">
      <c r="A114" s="18" t="s">
        <v>338</v>
      </c>
      <c r="B114" s="64" t="s">
        <v>456</v>
      </c>
    </row>
    <row r="115" spans="1:2" ht="45" x14ac:dyDescent="0.25">
      <c r="A115" s="18" t="s">
        <v>339</v>
      </c>
      <c r="B115" s="64" t="s">
        <v>457</v>
      </c>
    </row>
    <row r="116" spans="1:2" ht="30" x14ac:dyDescent="0.25">
      <c r="A116" s="18" t="s">
        <v>340</v>
      </c>
      <c r="B116" s="64" t="s">
        <v>458</v>
      </c>
    </row>
    <row r="117" spans="1:2" ht="90" x14ac:dyDescent="0.25">
      <c r="A117" s="14" t="s">
        <v>341</v>
      </c>
      <c r="B117" s="64" t="s">
        <v>459</v>
      </c>
    </row>
    <row r="118" spans="1:2" ht="30" x14ac:dyDescent="0.25">
      <c r="A118" s="14" t="s">
        <v>342</v>
      </c>
      <c r="B118" s="64" t="s">
        <v>460</v>
      </c>
    </row>
    <row r="119" spans="1:2" ht="90" x14ac:dyDescent="0.25">
      <c r="A119" s="65" t="s">
        <v>343</v>
      </c>
      <c r="B119" s="66" t="s">
        <v>461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G1:J179"/>
  <sheetViews>
    <sheetView workbookViewId="0"/>
  </sheetViews>
  <sheetFormatPr defaultColWidth="9.140625" defaultRowHeight="15" x14ac:dyDescent="0.25"/>
  <cols>
    <col min="1" max="6" width="9.140625" style="5"/>
    <col min="7" max="7" width="15.42578125" style="5" customWidth="1"/>
    <col min="8" max="8" width="18" style="5" customWidth="1"/>
    <col min="9" max="9" width="17.5703125" style="5" customWidth="1"/>
    <col min="10" max="10" width="9.140625" style="5" customWidth="1"/>
    <col min="11" max="16384" width="9.140625" style="5"/>
  </cols>
  <sheetData>
    <row r="1" spans="7:10" x14ac:dyDescent="0.25">
      <c r="G1" s="5" t="s">
        <v>0</v>
      </c>
      <c r="H1" s="5" t="s">
        <v>197</v>
      </c>
      <c r="I1" s="5" t="s">
        <v>25</v>
      </c>
      <c r="J1" s="5" t="s">
        <v>3</v>
      </c>
    </row>
    <row r="2" spans="7:10" x14ac:dyDescent="0.25">
      <c r="G2" s="5" t="s">
        <v>1</v>
      </c>
      <c r="H2" s="5" t="s">
        <v>198</v>
      </c>
      <c r="I2" s="5" t="s">
        <v>26</v>
      </c>
      <c r="J2" s="5" t="s">
        <v>4</v>
      </c>
    </row>
    <row r="3" spans="7:10" x14ac:dyDescent="0.25">
      <c r="G3" s="5" t="s">
        <v>2</v>
      </c>
      <c r="H3" s="5" t="s">
        <v>199</v>
      </c>
      <c r="I3" s="5" t="s">
        <v>27</v>
      </c>
    </row>
    <row r="4" spans="7:10" x14ac:dyDescent="0.25">
      <c r="H4" s="5" t="s">
        <v>200</v>
      </c>
      <c r="I4" s="5" t="s">
        <v>23</v>
      </c>
    </row>
    <row r="5" spans="7:10" x14ac:dyDescent="0.25">
      <c r="H5" s="5" t="s">
        <v>201</v>
      </c>
      <c r="I5" s="5" t="s">
        <v>28</v>
      </c>
    </row>
    <row r="6" spans="7:10" x14ac:dyDescent="0.25">
      <c r="H6" s="5" t="s">
        <v>202</v>
      </c>
      <c r="I6" s="5" t="s">
        <v>29</v>
      </c>
    </row>
    <row r="7" spans="7:10" x14ac:dyDescent="0.25">
      <c r="H7" s="5" t="s">
        <v>203</v>
      </c>
      <c r="I7" s="5" t="s">
        <v>30</v>
      </c>
    </row>
    <row r="8" spans="7:10" x14ac:dyDescent="0.25">
      <c r="H8" s="5" t="s">
        <v>204</v>
      </c>
      <c r="I8" s="5" t="s">
        <v>31</v>
      </c>
    </row>
    <row r="9" spans="7:10" x14ac:dyDescent="0.25">
      <c r="H9" s="5" t="s">
        <v>205</v>
      </c>
      <c r="I9" s="5" t="s">
        <v>32</v>
      </c>
    </row>
    <row r="10" spans="7:10" x14ac:dyDescent="0.25">
      <c r="H10" s="5" t="s">
        <v>17</v>
      </c>
      <c r="I10" s="5" t="s">
        <v>33</v>
      </c>
    </row>
    <row r="11" spans="7:10" x14ac:dyDescent="0.25">
      <c r="H11" s="5" t="s">
        <v>206</v>
      </c>
      <c r="I11" s="5" t="s">
        <v>34</v>
      </c>
    </row>
    <row r="12" spans="7:10" x14ac:dyDescent="0.25">
      <c r="H12" s="5" t="s">
        <v>207</v>
      </c>
      <c r="I12" s="5" t="s">
        <v>35</v>
      </c>
    </row>
    <row r="13" spans="7:10" x14ac:dyDescent="0.25">
      <c r="H13" s="5" t="s">
        <v>208</v>
      </c>
      <c r="I13" s="5" t="s">
        <v>36</v>
      </c>
    </row>
    <row r="14" spans="7:10" x14ac:dyDescent="0.25">
      <c r="H14" s="5" t="s">
        <v>16</v>
      </c>
      <c r="I14" s="5" t="s">
        <v>37</v>
      </c>
    </row>
    <row r="15" spans="7:10" x14ac:dyDescent="0.25">
      <c r="H15" s="5" t="s">
        <v>209</v>
      </c>
      <c r="I15" s="5" t="s">
        <v>38</v>
      </c>
    </row>
    <row r="16" spans="7:10" x14ac:dyDescent="0.25">
      <c r="H16" s="5" t="s">
        <v>210</v>
      </c>
      <c r="I16" s="5" t="s">
        <v>39</v>
      </c>
    </row>
    <row r="17" spans="8:9" x14ac:dyDescent="0.25">
      <c r="H17" s="5" t="s">
        <v>211</v>
      </c>
      <c r="I17" s="5" t="s">
        <v>40</v>
      </c>
    </row>
    <row r="18" spans="8:9" x14ac:dyDescent="0.25">
      <c r="H18" s="5" t="s">
        <v>212</v>
      </c>
      <c r="I18" s="5" t="s">
        <v>41</v>
      </c>
    </row>
    <row r="19" spans="8:9" x14ac:dyDescent="0.25">
      <c r="H19" s="5" t="s">
        <v>213</v>
      </c>
      <c r="I19" s="5" t="s">
        <v>42</v>
      </c>
    </row>
    <row r="20" spans="8:9" x14ac:dyDescent="0.25">
      <c r="H20" s="5" t="s">
        <v>214</v>
      </c>
      <c r="I20" s="5" t="s">
        <v>43</v>
      </c>
    </row>
    <row r="21" spans="8:9" x14ac:dyDescent="0.25">
      <c r="H21" s="5" t="s">
        <v>215</v>
      </c>
      <c r="I21" s="5" t="s">
        <v>44</v>
      </c>
    </row>
    <row r="22" spans="8:9" x14ac:dyDescent="0.25">
      <c r="H22" s="5" t="s">
        <v>216</v>
      </c>
      <c r="I22" s="5" t="s">
        <v>45</v>
      </c>
    </row>
    <row r="23" spans="8:9" x14ac:dyDescent="0.25">
      <c r="H23" s="5" t="s">
        <v>217</v>
      </c>
      <c r="I23" s="5" t="s">
        <v>46</v>
      </c>
    </row>
    <row r="24" spans="8:9" x14ac:dyDescent="0.25">
      <c r="H24" s="5" t="s">
        <v>218</v>
      </c>
      <c r="I24" s="5" t="s">
        <v>47</v>
      </c>
    </row>
    <row r="25" spans="8:9" x14ac:dyDescent="0.25">
      <c r="H25" s="5" t="s">
        <v>219</v>
      </c>
      <c r="I25" s="5" t="s">
        <v>48</v>
      </c>
    </row>
    <row r="26" spans="8:9" x14ac:dyDescent="0.25">
      <c r="H26" s="5" t="s">
        <v>220</v>
      </c>
      <c r="I26" s="5" t="s">
        <v>49</v>
      </c>
    </row>
    <row r="27" spans="8:9" x14ac:dyDescent="0.25">
      <c r="H27" s="5" t="s">
        <v>116</v>
      </c>
      <c r="I27" s="5" t="s">
        <v>50</v>
      </c>
    </row>
    <row r="28" spans="8:9" x14ac:dyDescent="0.25">
      <c r="H28" s="5" t="s">
        <v>221</v>
      </c>
      <c r="I28" s="5" t="s">
        <v>51</v>
      </c>
    </row>
    <row r="29" spans="8:9" x14ac:dyDescent="0.25">
      <c r="H29" s="5" t="s">
        <v>222</v>
      </c>
      <c r="I29" s="5" t="s">
        <v>52</v>
      </c>
    </row>
    <row r="30" spans="8:9" x14ac:dyDescent="0.25">
      <c r="I30" s="5" t="s">
        <v>53</v>
      </c>
    </row>
    <row r="31" spans="8:9" x14ac:dyDescent="0.25">
      <c r="I31" s="5" t="s">
        <v>54</v>
      </c>
    </row>
    <row r="32" spans="8:9" x14ac:dyDescent="0.25">
      <c r="I32" s="5" t="s">
        <v>55</v>
      </c>
    </row>
    <row r="33" spans="9:9" x14ac:dyDescent="0.25">
      <c r="I33" s="5" t="s">
        <v>56</v>
      </c>
    </row>
    <row r="34" spans="9:9" x14ac:dyDescent="0.25">
      <c r="I34" s="5" t="s">
        <v>57</v>
      </c>
    </row>
    <row r="35" spans="9:9" x14ac:dyDescent="0.25">
      <c r="I35" s="5" t="s">
        <v>58</v>
      </c>
    </row>
    <row r="36" spans="9:9" x14ac:dyDescent="0.25">
      <c r="I36" s="5" t="s">
        <v>59</v>
      </c>
    </row>
    <row r="37" spans="9:9" x14ac:dyDescent="0.25">
      <c r="I37" s="5" t="s">
        <v>60</v>
      </c>
    </row>
    <row r="38" spans="9:9" x14ac:dyDescent="0.25">
      <c r="I38" s="5" t="s">
        <v>61</v>
      </c>
    </row>
    <row r="39" spans="9:9" x14ac:dyDescent="0.25">
      <c r="I39" s="5" t="s">
        <v>62</v>
      </c>
    </row>
    <row r="40" spans="9:9" x14ac:dyDescent="0.25">
      <c r="I40" s="5" t="s">
        <v>63</v>
      </c>
    </row>
    <row r="41" spans="9:9" x14ac:dyDescent="0.25">
      <c r="I41" s="5" t="s">
        <v>64</v>
      </c>
    </row>
    <row r="42" spans="9:9" x14ac:dyDescent="0.25">
      <c r="I42" s="5" t="s">
        <v>65</v>
      </c>
    </row>
    <row r="43" spans="9:9" x14ac:dyDescent="0.25">
      <c r="I43" s="5" t="s">
        <v>66</v>
      </c>
    </row>
    <row r="44" spans="9:9" x14ac:dyDescent="0.25">
      <c r="I44" s="5" t="s">
        <v>67</v>
      </c>
    </row>
    <row r="45" spans="9:9" x14ac:dyDescent="0.25">
      <c r="I45" s="5" t="s">
        <v>68</v>
      </c>
    </row>
    <row r="46" spans="9:9" x14ac:dyDescent="0.25">
      <c r="I46" s="5" t="s">
        <v>69</v>
      </c>
    </row>
    <row r="47" spans="9:9" x14ac:dyDescent="0.25">
      <c r="I47" s="5" t="s">
        <v>70</v>
      </c>
    </row>
    <row r="48" spans="9:9" x14ac:dyDescent="0.25">
      <c r="I48" s="5" t="s">
        <v>71</v>
      </c>
    </row>
    <row r="49" spans="9:9" x14ac:dyDescent="0.25">
      <c r="I49" s="5" t="s">
        <v>72</v>
      </c>
    </row>
    <row r="50" spans="9:9" x14ac:dyDescent="0.25">
      <c r="I50" s="5" t="s">
        <v>73</v>
      </c>
    </row>
    <row r="51" spans="9:9" x14ac:dyDescent="0.25">
      <c r="I51" s="5" t="s">
        <v>74</v>
      </c>
    </row>
    <row r="52" spans="9:9" x14ac:dyDescent="0.25">
      <c r="I52" s="5" t="s">
        <v>75</v>
      </c>
    </row>
    <row r="53" spans="9:9" x14ac:dyDescent="0.25">
      <c r="I53" s="5" t="s">
        <v>76</v>
      </c>
    </row>
    <row r="54" spans="9:9" x14ac:dyDescent="0.25">
      <c r="I54" s="5" t="s">
        <v>77</v>
      </c>
    </row>
    <row r="55" spans="9:9" x14ac:dyDescent="0.25">
      <c r="I55" s="5" t="s">
        <v>78</v>
      </c>
    </row>
    <row r="56" spans="9:9" x14ac:dyDescent="0.25">
      <c r="I56" s="5" t="s">
        <v>79</v>
      </c>
    </row>
    <row r="57" spans="9:9" x14ac:dyDescent="0.25">
      <c r="I57" s="5" t="s">
        <v>80</v>
      </c>
    </row>
    <row r="58" spans="9:9" x14ac:dyDescent="0.25">
      <c r="I58" s="5" t="s">
        <v>81</v>
      </c>
    </row>
    <row r="59" spans="9:9" x14ac:dyDescent="0.25">
      <c r="I59" s="5" t="s">
        <v>82</v>
      </c>
    </row>
    <row r="60" spans="9:9" x14ac:dyDescent="0.25">
      <c r="I60" s="5" t="s">
        <v>83</v>
      </c>
    </row>
    <row r="61" spans="9:9" x14ac:dyDescent="0.25">
      <c r="I61" s="5" t="s">
        <v>84</v>
      </c>
    </row>
    <row r="62" spans="9:9" x14ac:dyDescent="0.25">
      <c r="I62" s="5" t="s">
        <v>85</v>
      </c>
    </row>
    <row r="63" spans="9:9" x14ac:dyDescent="0.25">
      <c r="I63" s="5" t="s">
        <v>86</v>
      </c>
    </row>
    <row r="64" spans="9:9" x14ac:dyDescent="0.25">
      <c r="I64" s="5" t="s">
        <v>87</v>
      </c>
    </row>
    <row r="65" spans="9:9" x14ac:dyDescent="0.25">
      <c r="I65" s="5" t="s">
        <v>88</v>
      </c>
    </row>
    <row r="66" spans="9:9" x14ac:dyDescent="0.25">
      <c r="I66" s="5" t="s">
        <v>89</v>
      </c>
    </row>
    <row r="67" spans="9:9" x14ac:dyDescent="0.25">
      <c r="I67" s="5" t="s">
        <v>90</v>
      </c>
    </row>
    <row r="68" spans="9:9" x14ac:dyDescent="0.25">
      <c r="I68" s="5" t="s">
        <v>91</v>
      </c>
    </row>
    <row r="69" spans="9:9" x14ac:dyDescent="0.25">
      <c r="I69" s="5" t="s">
        <v>92</v>
      </c>
    </row>
    <row r="70" spans="9:9" x14ac:dyDescent="0.25">
      <c r="I70" s="5" t="s">
        <v>93</v>
      </c>
    </row>
    <row r="71" spans="9:9" x14ac:dyDescent="0.25">
      <c r="I71" s="5" t="s">
        <v>94</v>
      </c>
    </row>
    <row r="72" spans="9:9" x14ac:dyDescent="0.25">
      <c r="I72" s="5" t="s">
        <v>95</v>
      </c>
    </row>
    <row r="73" spans="9:9" x14ac:dyDescent="0.25">
      <c r="I73" s="5" t="s">
        <v>96</v>
      </c>
    </row>
    <row r="74" spans="9:9" x14ac:dyDescent="0.25">
      <c r="I74" s="5" t="s">
        <v>97</v>
      </c>
    </row>
    <row r="75" spans="9:9" x14ac:dyDescent="0.25">
      <c r="I75" s="5" t="s">
        <v>98</v>
      </c>
    </row>
    <row r="76" spans="9:9" x14ac:dyDescent="0.25">
      <c r="I76" s="5" t="s">
        <v>99</v>
      </c>
    </row>
    <row r="77" spans="9:9" x14ac:dyDescent="0.25">
      <c r="I77" s="5" t="s">
        <v>100</v>
      </c>
    </row>
    <row r="78" spans="9:9" x14ac:dyDescent="0.25">
      <c r="I78" s="5" t="s">
        <v>101</v>
      </c>
    </row>
    <row r="79" spans="9:9" x14ac:dyDescent="0.25">
      <c r="I79" s="5" t="s">
        <v>102</v>
      </c>
    </row>
    <row r="80" spans="9:9" x14ac:dyDescent="0.25">
      <c r="I80" s="5" t="s">
        <v>103</v>
      </c>
    </row>
    <row r="81" spans="9:9" x14ac:dyDescent="0.25">
      <c r="I81" s="5" t="s">
        <v>104</v>
      </c>
    </row>
    <row r="82" spans="9:9" x14ac:dyDescent="0.25">
      <c r="I82" s="5" t="s">
        <v>105</v>
      </c>
    </row>
    <row r="83" spans="9:9" x14ac:dyDescent="0.25">
      <c r="I83" s="5" t="s">
        <v>106</v>
      </c>
    </row>
    <row r="84" spans="9:9" x14ac:dyDescent="0.25">
      <c r="I84" s="5" t="s">
        <v>20</v>
      </c>
    </row>
    <row r="85" spans="9:9" x14ac:dyDescent="0.25">
      <c r="I85" s="5" t="s">
        <v>107</v>
      </c>
    </row>
    <row r="86" spans="9:9" x14ac:dyDescent="0.25">
      <c r="I86" s="5" t="s">
        <v>108</v>
      </c>
    </row>
    <row r="87" spans="9:9" x14ac:dyDescent="0.25">
      <c r="I87" s="5" t="s">
        <v>109</v>
      </c>
    </row>
    <row r="88" spans="9:9" x14ac:dyDescent="0.25">
      <c r="I88" s="5" t="s">
        <v>110</v>
      </c>
    </row>
    <row r="89" spans="9:9" x14ac:dyDescent="0.25">
      <c r="I89" s="5" t="s">
        <v>111</v>
      </c>
    </row>
    <row r="90" spans="9:9" x14ac:dyDescent="0.25">
      <c r="I90" s="5" t="s">
        <v>112</v>
      </c>
    </row>
    <row r="91" spans="9:9" x14ac:dyDescent="0.25">
      <c r="I91" s="5" t="s">
        <v>113</v>
      </c>
    </row>
    <row r="92" spans="9:9" x14ac:dyDescent="0.25">
      <c r="I92" s="5" t="s">
        <v>114</v>
      </c>
    </row>
    <row r="93" spans="9:9" x14ac:dyDescent="0.25">
      <c r="I93" s="5" t="s">
        <v>115</v>
      </c>
    </row>
    <row r="94" spans="9:9" x14ac:dyDescent="0.25">
      <c r="I94" s="5" t="s">
        <v>19</v>
      </c>
    </row>
    <row r="95" spans="9:9" x14ac:dyDescent="0.25">
      <c r="I95" s="5" t="s">
        <v>116</v>
      </c>
    </row>
    <row r="96" spans="9:9" x14ac:dyDescent="0.25">
      <c r="I96" s="5" t="s">
        <v>117</v>
      </c>
    </row>
    <row r="97" spans="9:9" x14ac:dyDescent="0.25">
      <c r="I97" s="5" t="s">
        <v>118</v>
      </c>
    </row>
    <row r="98" spans="9:9" x14ac:dyDescent="0.25">
      <c r="I98" s="5" t="s">
        <v>119</v>
      </c>
    </row>
    <row r="99" spans="9:9" x14ac:dyDescent="0.25">
      <c r="I99" s="5" t="s">
        <v>120</v>
      </c>
    </row>
    <row r="100" spans="9:9" x14ac:dyDescent="0.25">
      <c r="I100" s="5" t="s">
        <v>121</v>
      </c>
    </row>
    <row r="101" spans="9:9" x14ac:dyDescent="0.25">
      <c r="I101" s="5" t="s">
        <v>122</v>
      </c>
    </row>
    <row r="102" spans="9:9" x14ac:dyDescent="0.25">
      <c r="I102" s="5" t="s">
        <v>123</v>
      </c>
    </row>
    <row r="103" spans="9:9" x14ac:dyDescent="0.25">
      <c r="I103" s="5" t="s">
        <v>124</v>
      </c>
    </row>
    <row r="104" spans="9:9" x14ac:dyDescent="0.25">
      <c r="I104" s="5" t="s">
        <v>125</v>
      </c>
    </row>
    <row r="105" spans="9:9" x14ac:dyDescent="0.25">
      <c r="I105" s="5" t="s">
        <v>126</v>
      </c>
    </row>
    <row r="106" spans="9:9" x14ac:dyDescent="0.25">
      <c r="I106" s="5" t="s">
        <v>127</v>
      </c>
    </row>
    <row r="107" spans="9:9" x14ac:dyDescent="0.25">
      <c r="I107" s="5" t="s">
        <v>128</v>
      </c>
    </row>
    <row r="108" spans="9:9" x14ac:dyDescent="0.25">
      <c r="I108" s="5" t="s">
        <v>129</v>
      </c>
    </row>
    <row r="109" spans="9:9" x14ac:dyDescent="0.25">
      <c r="I109" s="5" t="s">
        <v>130</v>
      </c>
    </row>
    <row r="110" spans="9:9" x14ac:dyDescent="0.25">
      <c r="I110" s="5" t="s">
        <v>21</v>
      </c>
    </row>
    <row r="111" spans="9:9" x14ac:dyDescent="0.25">
      <c r="I111" s="5" t="s">
        <v>131</v>
      </c>
    </row>
    <row r="112" spans="9:9" x14ac:dyDescent="0.25">
      <c r="I112" s="5" t="s">
        <v>132</v>
      </c>
    </row>
    <row r="113" spans="9:9" x14ac:dyDescent="0.25">
      <c r="I113" s="5" t="s">
        <v>133</v>
      </c>
    </row>
    <row r="114" spans="9:9" x14ac:dyDescent="0.25">
      <c r="I114" s="5" t="s">
        <v>134</v>
      </c>
    </row>
    <row r="115" spans="9:9" x14ac:dyDescent="0.25">
      <c r="I115" s="5" t="s">
        <v>135</v>
      </c>
    </row>
    <row r="116" spans="9:9" x14ac:dyDescent="0.25">
      <c r="I116" s="5" t="s">
        <v>136</v>
      </c>
    </row>
    <row r="117" spans="9:9" x14ac:dyDescent="0.25">
      <c r="I117" s="5" t="s">
        <v>137</v>
      </c>
    </row>
    <row r="118" spans="9:9" x14ac:dyDescent="0.25">
      <c r="I118" s="5" t="s">
        <v>138</v>
      </c>
    </row>
    <row r="119" spans="9:9" x14ac:dyDescent="0.25">
      <c r="I119" s="5" t="s">
        <v>139</v>
      </c>
    </row>
    <row r="120" spans="9:9" x14ac:dyDescent="0.25">
      <c r="I120" s="5" t="s">
        <v>140</v>
      </c>
    </row>
    <row r="121" spans="9:9" x14ac:dyDescent="0.25">
      <c r="I121" s="5" t="s">
        <v>141</v>
      </c>
    </row>
    <row r="122" spans="9:9" x14ac:dyDescent="0.25">
      <c r="I122" s="5" t="s">
        <v>142</v>
      </c>
    </row>
    <row r="123" spans="9:9" x14ac:dyDescent="0.25">
      <c r="I123" s="5" t="s">
        <v>143</v>
      </c>
    </row>
    <row r="124" spans="9:9" x14ac:dyDescent="0.25">
      <c r="I124" s="5" t="s">
        <v>144</v>
      </c>
    </row>
    <row r="125" spans="9:9" x14ac:dyDescent="0.25">
      <c r="I125" s="5" t="s">
        <v>145</v>
      </c>
    </row>
    <row r="126" spans="9:9" x14ac:dyDescent="0.25">
      <c r="I126" s="5" t="s">
        <v>146</v>
      </c>
    </row>
    <row r="127" spans="9:9" x14ac:dyDescent="0.25">
      <c r="I127" s="5" t="s">
        <v>147</v>
      </c>
    </row>
    <row r="128" spans="9:9" x14ac:dyDescent="0.25">
      <c r="I128" s="5" t="s">
        <v>148</v>
      </c>
    </row>
    <row r="129" spans="9:9" x14ac:dyDescent="0.25">
      <c r="I129" s="5" t="s">
        <v>149</v>
      </c>
    </row>
    <row r="130" spans="9:9" x14ac:dyDescent="0.25">
      <c r="I130" s="5" t="s">
        <v>150</v>
      </c>
    </row>
    <row r="131" spans="9:9" x14ac:dyDescent="0.25">
      <c r="I131" s="5" t="s">
        <v>151</v>
      </c>
    </row>
    <row r="132" spans="9:9" x14ac:dyDescent="0.25">
      <c r="I132" s="5" t="s">
        <v>152</v>
      </c>
    </row>
    <row r="133" spans="9:9" x14ac:dyDescent="0.25">
      <c r="I133" s="5" t="s">
        <v>153</v>
      </c>
    </row>
    <row r="134" spans="9:9" x14ac:dyDescent="0.25">
      <c r="I134" s="5" t="s">
        <v>154</v>
      </c>
    </row>
    <row r="135" spans="9:9" x14ac:dyDescent="0.25">
      <c r="I135" s="5" t="s">
        <v>155</v>
      </c>
    </row>
    <row r="136" spans="9:9" x14ac:dyDescent="0.25">
      <c r="I136" s="5" t="s">
        <v>156</v>
      </c>
    </row>
    <row r="137" spans="9:9" x14ac:dyDescent="0.25">
      <c r="I137" s="5" t="s">
        <v>157</v>
      </c>
    </row>
    <row r="138" spans="9:9" x14ac:dyDescent="0.25">
      <c r="I138" s="5" t="s">
        <v>158</v>
      </c>
    </row>
    <row r="139" spans="9:9" x14ac:dyDescent="0.25">
      <c r="I139" s="5" t="s">
        <v>159</v>
      </c>
    </row>
    <row r="140" spans="9:9" x14ac:dyDescent="0.25">
      <c r="I140" s="5" t="s">
        <v>160</v>
      </c>
    </row>
    <row r="141" spans="9:9" x14ac:dyDescent="0.25">
      <c r="I141" s="5" t="s">
        <v>161</v>
      </c>
    </row>
    <row r="142" spans="9:9" x14ac:dyDescent="0.25">
      <c r="I142" s="5" t="s">
        <v>162</v>
      </c>
    </row>
    <row r="143" spans="9:9" x14ac:dyDescent="0.25">
      <c r="I143" s="5" t="s">
        <v>163</v>
      </c>
    </row>
    <row r="144" spans="9:9" x14ac:dyDescent="0.25">
      <c r="I144" s="5" t="s">
        <v>22</v>
      </c>
    </row>
    <row r="145" spans="9:9" x14ac:dyDescent="0.25">
      <c r="I145" s="5" t="s">
        <v>164</v>
      </c>
    </row>
    <row r="146" spans="9:9" x14ac:dyDescent="0.25">
      <c r="I146" s="5" t="s">
        <v>165</v>
      </c>
    </row>
    <row r="147" spans="9:9" x14ac:dyDescent="0.25">
      <c r="I147" s="5" t="s">
        <v>166</v>
      </c>
    </row>
    <row r="148" spans="9:9" x14ac:dyDescent="0.25">
      <c r="I148" s="5" t="s">
        <v>167</v>
      </c>
    </row>
    <row r="149" spans="9:9" x14ac:dyDescent="0.25">
      <c r="I149" s="5" t="s">
        <v>168</v>
      </c>
    </row>
    <row r="150" spans="9:9" x14ac:dyDescent="0.25">
      <c r="I150" s="5" t="s">
        <v>169</v>
      </c>
    </row>
    <row r="151" spans="9:9" x14ac:dyDescent="0.25">
      <c r="I151" s="5" t="s">
        <v>18</v>
      </c>
    </row>
    <row r="152" spans="9:9" x14ac:dyDescent="0.25">
      <c r="I152" s="5" t="s">
        <v>170</v>
      </c>
    </row>
    <row r="153" spans="9:9" x14ac:dyDescent="0.25">
      <c r="I153" s="5" t="s">
        <v>171</v>
      </c>
    </row>
    <row r="154" spans="9:9" x14ac:dyDescent="0.25">
      <c r="I154" s="5" t="s">
        <v>172</v>
      </c>
    </row>
    <row r="155" spans="9:9" x14ac:dyDescent="0.25">
      <c r="I155" s="5" t="s">
        <v>173</v>
      </c>
    </row>
    <row r="156" spans="9:9" x14ac:dyDescent="0.25">
      <c r="I156" s="5" t="s">
        <v>174</v>
      </c>
    </row>
    <row r="157" spans="9:9" x14ac:dyDescent="0.25">
      <c r="I157" s="5" t="s">
        <v>175</v>
      </c>
    </row>
    <row r="158" spans="9:9" x14ac:dyDescent="0.25">
      <c r="I158" s="5" t="s">
        <v>176</v>
      </c>
    </row>
    <row r="159" spans="9:9" x14ac:dyDescent="0.25">
      <c r="I159" s="5" t="s">
        <v>177</v>
      </c>
    </row>
    <row r="160" spans="9:9" x14ac:dyDescent="0.25">
      <c r="I160" s="5" t="s">
        <v>178</v>
      </c>
    </row>
    <row r="161" spans="9:9" x14ac:dyDescent="0.25">
      <c r="I161" s="5" t="s">
        <v>179</v>
      </c>
    </row>
    <row r="162" spans="9:9" x14ac:dyDescent="0.25">
      <c r="I162" s="5" t="s">
        <v>180</v>
      </c>
    </row>
    <row r="163" spans="9:9" x14ac:dyDescent="0.25">
      <c r="I163" s="5" t="s">
        <v>181</v>
      </c>
    </row>
    <row r="164" spans="9:9" x14ac:dyDescent="0.25">
      <c r="I164" s="5" t="s">
        <v>182</v>
      </c>
    </row>
    <row r="165" spans="9:9" x14ac:dyDescent="0.25">
      <c r="I165" s="5" t="s">
        <v>183</v>
      </c>
    </row>
    <row r="166" spans="9:9" x14ac:dyDescent="0.25">
      <c r="I166" s="5" t="s">
        <v>184</v>
      </c>
    </row>
    <row r="167" spans="9:9" x14ac:dyDescent="0.25">
      <c r="I167" s="5" t="s">
        <v>185</v>
      </c>
    </row>
    <row r="168" spans="9:9" x14ac:dyDescent="0.25">
      <c r="I168" s="5" t="s">
        <v>186</v>
      </c>
    </row>
    <row r="169" spans="9:9" x14ac:dyDescent="0.25">
      <c r="I169" s="5" t="s">
        <v>187</v>
      </c>
    </row>
    <row r="170" spans="9:9" x14ac:dyDescent="0.25">
      <c r="I170" s="5" t="s">
        <v>24</v>
      </c>
    </row>
    <row r="171" spans="9:9" x14ac:dyDescent="0.25">
      <c r="I171" s="5" t="s">
        <v>188</v>
      </c>
    </row>
    <row r="172" spans="9:9" x14ac:dyDescent="0.25">
      <c r="I172" s="5" t="s">
        <v>189</v>
      </c>
    </row>
    <row r="173" spans="9:9" x14ac:dyDescent="0.25">
      <c r="I173" s="5" t="s">
        <v>190</v>
      </c>
    </row>
    <row r="174" spans="9:9" x14ac:dyDescent="0.25">
      <c r="I174" s="5" t="s">
        <v>191</v>
      </c>
    </row>
    <row r="175" spans="9:9" x14ac:dyDescent="0.25">
      <c r="I175" s="5" t="s">
        <v>192</v>
      </c>
    </row>
    <row r="176" spans="9:9" x14ac:dyDescent="0.25">
      <c r="I176" s="5" t="s">
        <v>193</v>
      </c>
    </row>
    <row r="177" spans="9:9" x14ac:dyDescent="0.25">
      <c r="I177" s="5" t="s">
        <v>194</v>
      </c>
    </row>
    <row r="178" spans="9:9" x14ac:dyDescent="0.25">
      <c r="I178" s="5" t="s">
        <v>195</v>
      </c>
    </row>
    <row r="179" spans="9:9" x14ac:dyDescent="0.25">
      <c r="I179" s="5" t="s">
        <v>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 </vt:lpstr>
      <vt:lpstr>Definitions </vt:lpstr>
      <vt:lpstr>STEP 1-A. Electric Meters</vt:lpstr>
      <vt:lpstr>STEP 1-B. Natural Gas Meters</vt:lpstr>
      <vt:lpstr>STEP 2. Building Data</vt:lpstr>
      <vt:lpstr>Prefered Primary Use List</vt:lpstr>
      <vt:lpstr>Sheet1</vt:lpstr>
      <vt:lpstr>Country</vt:lpstr>
      <vt:lpstr>FloorAreaUnit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Rose Odametey</dc:creator>
  <cp:lastModifiedBy>Anidu, Lukman G.</cp:lastModifiedBy>
  <dcterms:created xsi:type="dcterms:W3CDTF">2018-04-25T18:23:14Z</dcterms:created>
  <dcterms:modified xsi:type="dcterms:W3CDTF">2020-04-22T17:36:16Z</dcterms:modified>
</cp:coreProperties>
</file>